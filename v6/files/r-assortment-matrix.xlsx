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Товары" sheetId="2" state="visible" r:id="rId2"/>
    <sheet xmlns:r="http://schemas.openxmlformats.org/officeDocument/2006/relationships" name="Матрица" sheetId="3" state="visible" r:id="rId3"/>
    <sheet xmlns:r="http://schemas.openxmlformats.org/officeDocument/2006/relationships" name="Лестница це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A5B63"/>
    </font>
  </fonts>
  <fills count="3">
    <fill>
      <patternFill/>
    </fill>
    <fill>
      <patternFill patternType="gray125"/>
    </fill>
    <fill>
      <patternFill patternType="solid">
        <fgColor rgb="00E3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Ассортиментная матрица</t>
        </is>
      </c>
    </row>
    <row r="2">
      <c r="A2" s="2" t="inlineStr">
        <is>
          <t>Таблица раскладывает товары по роли, цене, вкладу в выручку (ABC) и стабильности спроса (XYZ) и подсказывает политику запасов для каждой ячейки матрицы.</t>
        </is>
      </c>
    </row>
    <row r="3">
      <c r="A3" s="2" t="n"/>
    </row>
    <row r="4">
      <c r="A4" s="2" t="inlineStr">
        <is>
          <t>1. Выгрузите из кабинетов выручку (лучше маржинальный доход) по каждому товару и продажи в штуках по месяцам за 6-12 месяцев. Впишите на лист «Товары».</t>
        </is>
      </c>
    </row>
    <row r="5">
      <c r="A5" s="2" t="inlineStr">
        <is>
          <t>2. Назначьте каждому товару роль. Это ваше решение, таблица её не считает.</t>
        </is>
      </c>
    </row>
    <row r="6">
      <c r="A6" s="2" t="inlineStr">
        <is>
          <t>3. Смотрите колонки ABC, XYZ и «Политика»: они считаются сами. Лист «Матрица» показывает, сколько товаров и выручки в каждой ячейке.</t>
        </is>
      </c>
    </row>
    <row r="7">
      <c r="A7" s="2" t="inlineStr">
        <is>
          <t>4. Лист «Лестница цен» покажет, как ассортимент распределён по ценам.</t>
        </is>
      </c>
    </row>
    <row r="8">
      <c r="A8" s="2" t="inlineStr">
        <is>
          <t>5. Новинки и сезонные товары вынесите отдельно. Пересчитывайте раз в квартал или перед большой закупкой.</t>
        </is>
      </c>
    </row>
    <row r="9">
      <c r="A9" s="2" t="n"/>
    </row>
    <row r="10">
      <c r="A10" s="2" t="inlineStr">
        <is>
          <t>Строки с пометкой «пример» можно удалить. Ставки комиссий и тарифы берите в кабинете площадки.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6" customWidth="1" min="12" max="12"/>
    <col width="8" customWidth="1" min="13" max="13"/>
    <col width="14" customWidth="1" min="14" max="14"/>
    <col width="16" customWidth="1" min="15" max="15"/>
    <col width="16" customWidth="1" min="16" max="16"/>
    <col width="8" customWidth="1" min="17" max="17"/>
    <col width="10" customWidth="1" min="18" max="18"/>
    <col width="44" customWidth="1" min="19" max="19"/>
  </cols>
  <sheetData>
    <row r="1">
      <c r="A1" s="3" t="inlineStr">
        <is>
          <t>Товар</t>
        </is>
      </c>
      <c r="B1" s="3" t="inlineStr">
        <is>
          <t>Роль товара</t>
        </is>
      </c>
      <c r="C1" s="3" t="inlineStr">
        <is>
          <t>Цена, ₽</t>
        </is>
      </c>
      <c r="D1" s="3" t="inlineStr">
        <is>
          <t>Выручка за период, ₽</t>
        </is>
      </c>
      <c r="E1" s="3" t="inlineStr">
        <is>
          <t>Месяц 1, шт.</t>
        </is>
      </c>
      <c r="F1" s="3" t="inlineStr">
        <is>
          <t>Месяц 2, шт.</t>
        </is>
      </c>
      <c r="G1" s="3" t="inlineStr">
        <is>
          <t>Месяц 3, шт.</t>
        </is>
      </c>
      <c r="H1" s="3" t="inlineStr">
        <is>
          <t>Месяц 4, шт.</t>
        </is>
      </c>
      <c r="I1" s="3" t="inlineStr">
        <is>
          <t>Месяц 5, шт.</t>
        </is>
      </c>
      <c r="J1" s="3" t="inlineStr">
        <is>
          <t>Месяц 6, шт.</t>
        </is>
      </c>
      <c r="K1" s="3" t="inlineStr">
        <is>
          <t>Доля в выручке, %</t>
        </is>
      </c>
      <c r="L1" s="3" t="inlineStr">
        <is>
          <t>Накопительная доля, %</t>
        </is>
      </c>
      <c r="M1" s="3" t="inlineStr">
        <is>
          <t>ABC</t>
        </is>
      </c>
      <c r="N1" s="3" t="inlineStr">
        <is>
          <t>Среднее в месяц, шт.</t>
        </is>
      </c>
      <c r="O1" s="3" t="inlineStr">
        <is>
          <t>Стандартное отклонение, шт.</t>
        </is>
      </c>
      <c r="P1" s="3" t="inlineStr">
        <is>
          <t>Коэффициент вариации, %</t>
        </is>
      </c>
      <c r="Q1" s="3" t="inlineStr">
        <is>
          <t>XYZ</t>
        </is>
      </c>
      <c r="R1" s="3" t="inlineStr">
        <is>
          <t>Ячейка</t>
        </is>
      </c>
      <c r="S1" s="3" t="inlineStr">
        <is>
          <t>Политика закупки и запаса</t>
        </is>
      </c>
    </row>
    <row r="2">
      <c r="A2" t="inlineStr">
        <is>
          <t>Рюкзак городской (пример)</t>
        </is>
      </c>
      <c r="B2" t="inlineStr">
        <is>
          <t>Основной доход</t>
        </is>
      </c>
      <c r="C2" t="n">
        <v>3000</v>
      </c>
      <c r="D2" t="n">
        <v>720000</v>
      </c>
      <c r="E2" t="n">
        <v>40</v>
      </c>
      <c r="F2" t="n">
        <v>42</v>
      </c>
      <c r="G2" t="n">
        <v>38</v>
      </c>
      <c r="H2" t="n">
        <v>41</v>
      </c>
      <c r="I2" t="n">
        <v>39</v>
      </c>
      <c r="J2" t="n">
        <v>40</v>
      </c>
      <c r="K2">
        <f>IF(SUM(D:D)=0,"",D2/SUM(D:D)*100)</f>
        <v/>
      </c>
      <c r="L2">
        <f>IF(OR(D2="",SUM(D:D)=0),"",ROUND(SUMIF(D:D,"&gt;="&amp;D2)/SUM(D:D)*100,4))</f>
        <v/>
      </c>
      <c r="M2">
        <f>IF(L2="","",IF(L2&lt;=80,"A",IF(L2&lt;=95,"B","C")))</f>
        <v/>
      </c>
      <c r="N2">
        <f>IF(COUNT(E2:J2)=0,"",AVERAGE(E2:J2))</f>
        <v/>
      </c>
      <c r="O2">
        <f>IF(COUNT(E2:J2)=0,"",STDEVP(E2:J2))</f>
        <v/>
      </c>
      <c r="P2">
        <f>IF(N(N2)=0,"",O2/N2*100)</f>
        <v/>
      </c>
      <c r="Q2">
        <f>IF(N2="","",IF(P2="","Z",IF(P2&lt;=10,"X",IF(P2&lt;=25,"Y","Z"))))</f>
        <v/>
      </c>
      <c r="R2">
        <f>IF(OR(M2="",Q2=""),"",M2&amp;Q2)</f>
        <v/>
      </c>
      <c r="S2">
        <f>IF(R2="","",IF(OR(R2="AX",R2="BX"),"Поставки точно в срок, частые небольшие партии",IF(OR(R2="AY",R2="BY"),"Страховой запас и контроль уровня",IF(OR(R2="AZ",R2="BZ"),"Минимум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3">
      <c r="A3" t="inlineStr">
        <is>
          <t>Сумка через плечо (пример)</t>
        </is>
      </c>
      <c r="B3" t="inlineStr">
        <is>
          <t>Основной доход</t>
        </is>
      </c>
      <c r="C3" t="n">
        <v>2000</v>
      </c>
      <c r="D3" t="n">
        <v>400000</v>
      </c>
      <c r="E3" t="n">
        <v>32</v>
      </c>
      <c r="F3" t="n">
        <v>35</v>
      </c>
      <c r="G3" t="n">
        <v>28</v>
      </c>
      <c r="H3" t="n">
        <v>38</v>
      </c>
      <c r="I3" t="n">
        <v>30</v>
      </c>
      <c r="J3" t="n">
        <v>37</v>
      </c>
      <c r="K3">
        <f>IF(SUM(D:D)=0,"",D3/SUM(D:D)*100)</f>
        <v/>
      </c>
      <c r="L3">
        <f>IF(OR(D3="",SUM(D:D)=0),"",ROUND(SUMIF(D:D,"&gt;="&amp;D3)/SUM(D:D)*100,4))</f>
        <v/>
      </c>
      <c r="M3">
        <f>IF(L3="","",IF(L3&lt;=80,"A",IF(L3&lt;=95,"B","C")))</f>
        <v/>
      </c>
      <c r="N3">
        <f>IF(COUNT(E3:J3)=0,"",AVERAGE(E3:J3))</f>
        <v/>
      </c>
      <c r="O3">
        <f>IF(COUNT(E3:J3)=0,"",STDEVP(E3:J3))</f>
        <v/>
      </c>
      <c r="P3">
        <f>IF(N(N3)=0,"",O3/N3*100)</f>
        <v/>
      </c>
      <c r="Q3">
        <f>IF(N3="","",IF(P3="","Z",IF(P3&lt;=10,"X",IF(P3&lt;=25,"Y","Z"))))</f>
        <v/>
      </c>
      <c r="R3">
        <f>IF(OR(M3="",Q3=""),"",M3&amp;Q3)</f>
        <v/>
      </c>
      <c r="S3">
        <f>IF(R3="","",IF(OR(R3="AX",R3="BX"),"Поставки точно в срок, частые небольшие партии",IF(OR(R3="AY",R3="BY"),"Страховой запас и контроль уровня",IF(OR(R3="AZ",R3="BZ"),"Минимум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4">
      <c r="A4" t="inlineStr">
        <is>
          <t>Кошелёк (пример)</t>
        </is>
      </c>
      <c r="B4" t="inlineStr">
        <is>
          <t>Трафик</t>
        </is>
      </c>
      <c r="C4" t="n">
        <v>800</v>
      </c>
      <c r="D4" t="n">
        <v>288000</v>
      </c>
      <c r="E4" t="n">
        <v>60</v>
      </c>
      <c r="F4" t="n">
        <v>55</v>
      </c>
      <c r="G4" t="n">
        <v>65</v>
      </c>
      <c r="H4" t="n">
        <v>58</v>
      </c>
      <c r="I4" t="n">
        <v>62</v>
      </c>
      <c r="J4" t="n">
        <v>60</v>
      </c>
      <c r="K4">
        <f>IF(SUM(D:D)=0,"",D4/SUM(D:D)*100)</f>
        <v/>
      </c>
      <c r="L4">
        <f>IF(OR(D4="",SUM(D:D)=0),"",ROUND(SUMIF(D:D,"&gt;="&amp;D4)/SUM(D:D)*100,4))</f>
        <v/>
      </c>
      <c r="M4">
        <f>IF(L4="","",IF(L4&lt;=80,"A",IF(L4&lt;=95,"B","C")))</f>
        <v/>
      </c>
      <c r="N4">
        <f>IF(COUNT(E4:J4)=0,"",AVERAGE(E4:J4))</f>
        <v/>
      </c>
      <c r="O4">
        <f>IF(COUNT(E4:J4)=0,"",STDEVP(E4:J4))</f>
        <v/>
      </c>
      <c r="P4">
        <f>IF(N(N4)=0,"",O4/N4*100)</f>
        <v/>
      </c>
      <c r="Q4">
        <f>IF(N4="","",IF(P4="","Z",IF(P4&lt;=10,"X",IF(P4&lt;=25,"Y","Z"))))</f>
        <v/>
      </c>
      <c r="R4">
        <f>IF(OR(M4="",Q4=""),"",M4&amp;Q4)</f>
        <v/>
      </c>
      <c r="S4">
        <f>IF(R4="","",IF(OR(R4="AX",R4="BX"),"Поставки точно в срок, частые небольшие партии",IF(OR(R4="AY",R4="BY"),"Страховой запас и контроль уровня",IF(OR(R4="AZ",R4="BZ"),"Минимум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5">
      <c r="A5" t="inlineStr">
        <is>
          <t>Чехол для ноутбука (пример)</t>
        </is>
      </c>
      <c r="B5" t="inlineStr">
        <is>
          <t>Дополнение</t>
        </is>
      </c>
      <c r="C5" t="n">
        <v>1200</v>
      </c>
      <c r="D5" t="n">
        <v>150000</v>
      </c>
      <c r="E5" t="n">
        <v>10</v>
      </c>
      <c r="F5" t="n">
        <v>45</v>
      </c>
      <c r="G5" t="n">
        <v>5</v>
      </c>
      <c r="H5" t="n">
        <v>30</v>
      </c>
      <c r="I5" t="n">
        <v>10</v>
      </c>
      <c r="J5" t="n">
        <v>25</v>
      </c>
      <c r="K5">
        <f>IF(SUM(D:D)=0,"",D5/SUM(D:D)*100)</f>
        <v/>
      </c>
      <c r="L5">
        <f>IF(OR(D5="",SUM(D:D)=0),"",ROUND(SUMIF(D:D,"&gt;="&amp;D5)/SUM(D:D)*100,4))</f>
        <v/>
      </c>
      <c r="M5">
        <f>IF(L5="","",IF(L5&lt;=80,"A",IF(L5&lt;=95,"B","C")))</f>
        <v/>
      </c>
      <c r="N5">
        <f>IF(COUNT(E5:J5)=0,"",AVERAGE(E5:J5))</f>
        <v/>
      </c>
      <c r="O5">
        <f>IF(COUNT(E5:J5)=0,"",STDEVP(E5:J5))</f>
        <v/>
      </c>
      <c r="P5">
        <f>IF(N(N5)=0,"",O5/N5*100)</f>
        <v/>
      </c>
      <c r="Q5">
        <f>IF(N5="","",IF(P5="","Z",IF(P5&lt;=10,"X",IF(P5&lt;=25,"Y","Z"))))</f>
        <v/>
      </c>
      <c r="R5">
        <f>IF(OR(M5="",Q5=""),"",M5&amp;Q5)</f>
        <v/>
      </c>
      <c r="S5">
        <f>IF(R5="","",IF(OR(R5="AX",R5="BX"),"Поставки точно в срок, частые небольшие партии",IF(OR(R5="AY",R5="BY"),"Страховой запас и контроль уровня",IF(OR(R5="AZ",R5="BZ"),"Минимум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6">
      <c r="A6" t="inlineStr">
        <is>
          <t>Ремень кожаный (пример)</t>
        </is>
      </c>
      <c r="B6" t="inlineStr">
        <is>
          <t>Имидж</t>
        </is>
      </c>
      <c r="C6" t="n">
        <v>6000</v>
      </c>
      <c r="D6" t="n">
        <v>90000</v>
      </c>
      <c r="E6" t="n">
        <v>3</v>
      </c>
      <c r="F6" t="n">
        <v>2</v>
      </c>
      <c r="G6" t="n">
        <v>3</v>
      </c>
      <c r="H6" t="n">
        <v>2</v>
      </c>
      <c r="I6" t="n">
        <v>3</v>
      </c>
      <c r="J6" t="n">
        <v>2</v>
      </c>
      <c r="K6">
        <f>IF(SUM(D:D)=0,"",D6/SUM(D:D)*100)</f>
        <v/>
      </c>
      <c r="L6">
        <f>IF(OR(D6="",SUM(D:D)=0),"",ROUND(SUMIF(D:D,"&gt;="&amp;D6)/SUM(D:D)*100,4))</f>
        <v/>
      </c>
      <c r="M6">
        <f>IF(L6="","",IF(L6&lt;=80,"A",IF(L6&lt;=95,"B","C")))</f>
        <v/>
      </c>
      <c r="N6">
        <f>IF(COUNT(E6:J6)=0,"",AVERAGE(E6:J6))</f>
        <v/>
      </c>
      <c r="O6">
        <f>IF(COUNT(E6:J6)=0,"",STDEVP(E6:J6))</f>
        <v/>
      </c>
      <c r="P6">
        <f>IF(N(N6)=0,"",O6/N6*100)</f>
        <v/>
      </c>
      <c r="Q6">
        <f>IF(N6="","",IF(P6="","Z",IF(P6&lt;=10,"X",IF(P6&lt;=25,"Y","Z"))))</f>
        <v/>
      </c>
      <c r="R6">
        <f>IF(OR(M6="",Q6=""),"",M6&amp;Q6)</f>
        <v/>
      </c>
      <c r="S6">
        <f>IF(R6="","",IF(OR(R6="AX",R6="BX"),"Поставки точно в срок, частые небольшие партии",IF(OR(R6="AY",R6="BY"),"Страховой запас и контроль уровня",IF(OR(R6="AZ",R6="BZ"),"Минимум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7">
      <c r="K7">
        <f>IF(SUM(D:D)=0,"",D7/SUM(D:D)*100)</f>
        <v/>
      </c>
      <c r="L7">
        <f>IF(OR(D7="",SUM(D:D)=0),"",ROUND(SUMIF(D:D,"&gt;="&amp;D7)/SUM(D:D)*100,4))</f>
        <v/>
      </c>
      <c r="M7">
        <f>IF(L7="","",IF(L7&lt;=80,"A",IF(L7&lt;=95,"B","C")))</f>
        <v/>
      </c>
      <c r="N7">
        <f>IF(COUNT(E7:J7)=0,"",AVERAGE(E7:J7))</f>
        <v/>
      </c>
      <c r="O7">
        <f>IF(COUNT(E7:J7)=0,"",STDEVP(E7:J7))</f>
        <v/>
      </c>
      <c r="P7">
        <f>IF(N(N7)=0,"",O7/N7*100)</f>
        <v/>
      </c>
      <c r="Q7">
        <f>IF(N7="","",IF(P7="","Z",IF(P7&lt;=10,"X",IF(P7&lt;=25,"Y","Z"))))</f>
        <v/>
      </c>
      <c r="R7">
        <f>IF(OR(M7="",Q7=""),"",M7&amp;Q7)</f>
        <v/>
      </c>
      <c r="S7">
        <f>IF(R7="","",IF(OR(R7="AX",R7="BX"),"Поставки точно в срок, частые небольшие партии",IF(OR(R7="AY",R7="BY"),"Страховой запас и контроль уровня",IF(OR(R7="AZ",R7="BZ"),"Минимум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8">
      <c r="K8">
        <f>IF(SUM(D:D)=0,"",D8/SUM(D:D)*100)</f>
        <v/>
      </c>
      <c r="L8">
        <f>IF(OR(D8="",SUM(D:D)=0),"",ROUND(SUMIF(D:D,"&gt;="&amp;D8)/SUM(D:D)*100,4))</f>
        <v/>
      </c>
      <c r="M8">
        <f>IF(L8="","",IF(L8&lt;=80,"A",IF(L8&lt;=95,"B","C")))</f>
        <v/>
      </c>
      <c r="N8">
        <f>IF(COUNT(E8:J8)=0,"",AVERAGE(E8:J8))</f>
        <v/>
      </c>
      <c r="O8">
        <f>IF(COUNT(E8:J8)=0,"",STDEVP(E8:J8))</f>
        <v/>
      </c>
      <c r="P8">
        <f>IF(N(N8)=0,"",O8/N8*100)</f>
        <v/>
      </c>
      <c r="Q8">
        <f>IF(N8="","",IF(P8="","Z",IF(P8&lt;=10,"X",IF(P8&lt;=25,"Y","Z"))))</f>
        <v/>
      </c>
      <c r="R8">
        <f>IF(OR(M8="",Q8=""),"",M8&amp;Q8)</f>
        <v/>
      </c>
      <c r="S8">
        <f>IF(R8="","",IF(OR(R8="AX",R8="BX"),"Поставки точно в срок, частые небольшие партии",IF(OR(R8="AY",R8="BY"),"Страховой запас и контроль уровня",IF(OR(R8="AZ",R8="BZ"),"Минимум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9">
      <c r="K9">
        <f>IF(SUM(D:D)=0,"",D9/SUM(D:D)*100)</f>
        <v/>
      </c>
      <c r="L9">
        <f>IF(OR(D9="",SUM(D:D)=0),"",ROUND(SUMIF(D:D,"&gt;="&amp;D9)/SUM(D:D)*100,4))</f>
        <v/>
      </c>
      <c r="M9">
        <f>IF(L9="","",IF(L9&lt;=80,"A",IF(L9&lt;=95,"B","C")))</f>
        <v/>
      </c>
      <c r="N9">
        <f>IF(COUNT(E9:J9)=0,"",AVERAGE(E9:J9))</f>
        <v/>
      </c>
      <c r="O9">
        <f>IF(COUNT(E9:J9)=0,"",STDEVP(E9:J9))</f>
        <v/>
      </c>
      <c r="P9">
        <f>IF(N(N9)=0,"",O9/N9*100)</f>
        <v/>
      </c>
      <c r="Q9">
        <f>IF(N9="","",IF(P9="","Z",IF(P9&lt;=10,"X",IF(P9&lt;=25,"Y","Z"))))</f>
        <v/>
      </c>
      <c r="R9">
        <f>IF(OR(M9="",Q9=""),"",M9&amp;Q9)</f>
        <v/>
      </c>
      <c r="S9">
        <f>IF(R9="","",IF(OR(R9="AX",R9="BX"),"Поставки точно в срок, частые небольшие партии",IF(OR(R9="AY",R9="BY"),"Страховой запас и контроль уровня",IF(OR(R9="AZ",R9="BZ"),"Минимум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0">
      <c r="K10">
        <f>IF(SUM(D:D)=0,"",D10/SUM(D:D)*100)</f>
        <v/>
      </c>
      <c r="L10">
        <f>IF(OR(D10="",SUM(D:D)=0),"",ROUND(SUMIF(D:D,"&gt;="&amp;D10)/SUM(D:D)*100,4))</f>
        <v/>
      </c>
      <c r="M10">
        <f>IF(L10="","",IF(L10&lt;=80,"A",IF(L10&lt;=95,"B","C")))</f>
        <v/>
      </c>
      <c r="N10">
        <f>IF(COUNT(E10:J10)=0,"",AVERAGE(E10:J10))</f>
        <v/>
      </c>
      <c r="O10">
        <f>IF(COUNT(E10:J10)=0,"",STDEVP(E10:J10))</f>
        <v/>
      </c>
      <c r="P10">
        <f>IF(N(N10)=0,"",O10/N10*100)</f>
        <v/>
      </c>
      <c r="Q10">
        <f>IF(N10="","",IF(P10="","Z",IF(P10&lt;=10,"X",IF(P10&lt;=25,"Y","Z"))))</f>
        <v/>
      </c>
      <c r="R10">
        <f>IF(OR(M10="",Q10=""),"",M10&amp;Q10)</f>
        <v/>
      </c>
      <c r="S10">
        <f>IF(R10="","",IF(OR(R10="AX",R10="BX"),"Поставки точно в срок, частые небольшие партии",IF(OR(R10="AY",R10="BY"),"Страховой запас и контроль уровня",IF(OR(R10="AZ",R10="BZ"),"Минимум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1">
      <c r="K11">
        <f>IF(SUM(D:D)=0,"",D11/SUM(D:D)*100)</f>
        <v/>
      </c>
      <c r="L11">
        <f>IF(OR(D11="",SUM(D:D)=0),"",ROUND(SUMIF(D:D,"&gt;="&amp;D11)/SUM(D:D)*100,4))</f>
        <v/>
      </c>
      <c r="M11">
        <f>IF(L11="","",IF(L11&lt;=80,"A",IF(L11&lt;=95,"B","C")))</f>
        <v/>
      </c>
      <c r="N11">
        <f>IF(COUNT(E11:J11)=0,"",AVERAGE(E11:J11))</f>
        <v/>
      </c>
      <c r="O11">
        <f>IF(COUNT(E11:J11)=0,"",STDEVP(E11:J11))</f>
        <v/>
      </c>
      <c r="P11">
        <f>IF(N(N11)=0,"",O11/N11*100)</f>
        <v/>
      </c>
      <c r="Q11">
        <f>IF(N11="","",IF(P11="","Z",IF(P11&lt;=10,"X",IF(P11&lt;=25,"Y","Z"))))</f>
        <v/>
      </c>
      <c r="R11">
        <f>IF(OR(M11="",Q11=""),"",M11&amp;Q11)</f>
        <v/>
      </c>
      <c r="S11">
        <f>IF(R11="","",IF(OR(R11="AX",R11="BX"),"Поставки точно в срок, частые небольшие партии",IF(OR(R11="AY",R11="BY"),"Страховой запас и контроль уровня",IF(OR(R11="AZ",R11="BZ"),"Минимум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2">
      <c r="K12">
        <f>IF(SUM(D:D)=0,"",D12/SUM(D:D)*100)</f>
        <v/>
      </c>
      <c r="L12">
        <f>IF(OR(D12="",SUM(D:D)=0),"",ROUND(SUMIF(D:D,"&gt;="&amp;D12)/SUM(D:D)*100,4))</f>
        <v/>
      </c>
      <c r="M12">
        <f>IF(L12="","",IF(L12&lt;=80,"A",IF(L12&lt;=95,"B","C")))</f>
        <v/>
      </c>
      <c r="N12">
        <f>IF(COUNT(E12:J12)=0,"",AVERAGE(E12:J12))</f>
        <v/>
      </c>
      <c r="O12">
        <f>IF(COUNT(E12:J12)=0,"",STDEVP(E12:J12))</f>
        <v/>
      </c>
      <c r="P12">
        <f>IF(N(N12)=0,"",O12/N12*100)</f>
        <v/>
      </c>
      <c r="Q12">
        <f>IF(N12="","",IF(P12="","Z",IF(P12&lt;=10,"X",IF(P12&lt;=25,"Y","Z"))))</f>
        <v/>
      </c>
      <c r="R12">
        <f>IF(OR(M12="",Q12=""),"",M12&amp;Q12)</f>
        <v/>
      </c>
      <c r="S12">
        <f>IF(R12="","",IF(OR(R12="AX",R12="BX"),"Поставки точно в срок, частые небольшие партии",IF(OR(R12="AY",R12="BY"),"Страховой запас и контроль уровня",IF(OR(R12="AZ",R12="BZ"),"Минимум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3">
      <c r="K13">
        <f>IF(SUM(D:D)=0,"",D13/SUM(D:D)*100)</f>
        <v/>
      </c>
      <c r="L13">
        <f>IF(OR(D13="",SUM(D:D)=0),"",ROUND(SUMIF(D:D,"&gt;="&amp;D13)/SUM(D:D)*100,4))</f>
        <v/>
      </c>
      <c r="M13">
        <f>IF(L13="","",IF(L13&lt;=80,"A",IF(L13&lt;=95,"B","C")))</f>
        <v/>
      </c>
      <c r="N13">
        <f>IF(COUNT(E13:J13)=0,"",AVERAGE(E13:J13))</f>
        <v/>
      </c>
      <c r="O13">
        <f>IF(COUNT(E13:J13)=0,"",STDEVP(E13:J13))</f>
        <v/>
      </c>
      <c r="P13">
        <f>IF(N(N13)=0,"",O13/N13*100)</f>
        <v/>
      </c>
      <c r="Q13">
        <f>IF(N13="","",IF(P13="","Z",IF(P13&lt;=10,"X",IF(P13&lt;=25,"Y","Z"))))</f>
        <v/>
      </c>
      <c r="R13">
        <f>IF(OR(M13="",Q13=""),"",M13&amp;Q13)</f>
        <v/>
      </c>
      <c r="S13">
        <f>IF(R13="","",IF(OR(R13="AX",R13="BX"),"Поставки точно в срок, частые небольшие партии",IF(OR(R13="AY",R13="BY"),"Страховой запас и контроль уровня",IF(OR(R13="AZ",R13="BZ"),"Минимум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4">
      <c r="K14">
        <f>IF(SUM(D:D)=0,"",D14/SUM(D:D)*100)</f>
        <v/>
      </c>
      <c r="L14">
        <f>IF(OR(D14="",SUM(D:D)=0),"",ROUND(SUMIF(D:D,"&gt;="&amp;D14)/SUM(D:D)*100,4))</f>
        <v/>
      </c>
      <c r="M14">
        <f>IF(L14="","",IF(L14&lt;=80,"A",IF(L14&lt;=95,"B","C")))</f>
        <v/>
      </c>
      <c r="N14">
        <f>IF(COUNT(E14:J14)=0,"",AVERAGE(E14:J14))</f>
        <v/>
      </c>
      <c r="O14">
        <f>IF(COUNT(E14:J14)=0,"",STDEVP(E14:J14))</f>
        <v/>
      </c>
      <c r="P14">
        <f>IF(N(N14)=0,"",O14/N14*100)</f>
        <v/>
      </c>
      <c r="Q14">
        <f>IF(N14="","",IF(P14="","Z",IF(P14&lt;=10,"X",IF(P14&lt;=25,"Y","Z"))))</f>
        <v/>
      </c>
      <c r="R14">
        <f>IF(OR(M14="",Q14=""),"",M14&amp;Q14)</f>
        <v/>
      </c>
      <c r="S14">
        <f>IF(R14="","",IF(OR(R14="AX",R14="BX"),"Поставки точно в срок, частые небольшие партии",IF(OR(R14="AY",R14="BY"),"Страховой запас и контроль уровня",IF(OR(R14="AZ",R14="BZ"),"Минимум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5">
      <c r="K15">
        <f>IF(SUM(D:D)=0,"",D15/SUM(D:D)*100)</f>
        <v/>
      </c>
      <c r="L15">
        <f>IF(OR(D15="",SUM(D:D)=0),"",ROUND(SUMIF(D:D,"&gt;="&amp;D15)/SUM(D:D)*100,4))</f>
        <v/>
      </c>
      <c r="M15">
        <f>IF(L15="","",IF(L15&lt;=80,"A",IF(L15&lt;=95,"B","C")))</f>
        <v/>
      </c>
      <c r="N15">
        <f>IF(COUNT(E15:J15)=0,"",AVERAGE(E15:J15))</f>
        <v/>
      </c>
      <c r="O15">
        <f>IF(COUNT(E15:J15)=0,"",STDEVP(E15:J15))</f>
        <v/>
      </c>
      <c r="P15">
        <f>IF(N(N15)=0,"",O15/N15*100)</f>
        <v/>
      </c>
      <c r="Q15">
        <f>IF(N15="","",IF(P15="","Z",IF(P15&lt;=10,"X",IF(P15&lt;=25,"Y","Z"))))</f>
        <v/>
      </c>
      <c r="R15">
        <f>IF(OR(M15="",Q15=""),"",M15&amp;Q15)</f>
        <v/>
      </c>
      <c r="S15">
        <f>IF(R15="","",IF(OR(R15="AX",R15="BX"),"Поставки точно в срок, частые небольшие партии",IF(OR(R15="AY",R15="BY"),"Страховой запас и контроль уровня",IF(OR(R15="AZ",R15="BZ"),"Минимум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6">
      <c r="K16">
        <f>IF(SUM(D:D)=0,"",D16/SUM(D:D)*100)</f>
        <v/>
      </c>
      <c r="L16">
        <f>IF(OR(D16="",SUM(D:D)=0),"",ROUND(SUMIF(D:D,"&gt;="&amp;D16)/SUM(D:D)*100,4))</f>
        <v/>
      </c>
      <c r="M16">
        <f>IF(L16="","",IF(L16&lt;=80,"A",IF(L16&lt;=95,"B","C")))</f>
        <v/>
      </c>
      <c r="N16">
        <f>IF(COUNT(E16:J16)=0,"",AVERAGE(E16:J16))</f>
        <v/>
      </c>
      <c r="O16">
        <f>IF(COUNT(E16:J16)=0,"",STDEVP(E16:J16))</f>
        <v/>
      </c>
      <c r="P16">
        <f>IF(N(N16)=0,"",O16/N16*100)</f>
        <v/>
      </c>
      <c r="Q16">
        <f>IF(N16="","",IF(P16="","Z",IF(P16&lt;=10,"X",IF(P16&lt;=25,"Y","Z"))))</f>
        <v/>
      </c>
      <c r="R16">
        <f>IF(OR(M16="",Q16=""),"",M16&amp;Q16)</f>
        <v/>
      </c>
      <c r="S16">
        <f>IF(R16="","",IF(OR(R16="AX",R16="BX"),"Поставки точно в срок, частые небольшие партии",IF(OR(R16="AY",R16="BY"),"Страховой запас и контроль уровня",IF(OR(R16="AZ",R16="BZ"),"Минимум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7">
      <c r="K17">
        <f>IF(SUM(D:D)=0,"",D17/SUM(D:D)*100)</f>
        <v/>
      </c>
      <c r="L17">
        <f>IF(OR(D17="",SUM(D:D)=0),"",ROUND(SUMIF(D:D,"&gt;="&amp;D17)/SUM(D:D)*100,4))</f>
        <v/>
      </c>
      <c r="M17">
        <f>IF(L17="","",IF(L17&lt;=80,"A",IF(L17&lt;=95,"B","C")))</f>
        <v/>
      </c>
      <c r="N17">
        <f>IF(COUNT(E17:J17)=0,"",AVERAGE(E17:J17))</f>
        <v/>
      </c>
      <c r="O17">
        <f>IF(COUNT(E17:J17)=0,"",STDEVP(E17:J17))</f>
        <v/>
      </c>
      <c r="P17">
        <f>IF(N(N17)=0,"",O17/N17*100)</f>
        <v/>
      </c>
      <c r="Q17">
        <f>IF(N17="","",IF(P17="","Z",IF(P17&lt;=10,"X",IF(P17&lt;=25,"Y","Z"))))</f>
        <v/>
      </c>
      <c r="R17">
        <f>IF(OR(M17="",Q17=""),"",M17&amp;Q17)</f>
        <v/>
      </c>
      <c r="S17">
        <f>IF(R17="","",IF(OR(R17="AX",R17="BX"),"Поставки точно в срок, частые небольшие партии",IF(OR(R17="AY",R17="BY"),"Страховой запас и контроль уровня",IF(OR(R17="AZ",R17="BZ"),"Минимум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8">
      <c r="K18">
        <f>IF(SUM(D:D)=0,"",D18/SUM(D:D)*100)</f>
        <v/>
      </c>
      <c r="L18">
        <f>IF(OR(D18="",SUM(D:D)=0),"",ROUND(SUMIF(D:D,"&gt;="&amp;D18)/SUM(D:D)*100,4))</f>
        <v/>
      </c>
      <c r="M18">
        <f>IF(L18="","",IF(L18&lt;=80,"A",IF(L18&lt;=95,"B","C")))</f>
        <v/>
      </c>
      <c r="N18">
        <f>IF(COUNT(E18:J18)=0,"",AVERAGE(E18:J18))</f>
        <v/>
      </c>
      <c r="O18">
        <f>IF(COUNT(E18:J18)=0,"",STDEVP(E18:J18))</f>
        <v/>
      </c>
      <c r="P18">
        <f>IF(N(N18)=0,"",O18/N18*100)</f>
        <v/>
      </c>
      <c r="Q18">
        <f>IF(N18="","",IF(P18="","Z",IF(P18&lt;=10,"X",IF(P18&lt;=25,"Y","Z"))))</f>
        <v/>
      </c>
      <c r="R18">
        <f>IF(OR(M18="",Q18=""),"",M18&amp;Q18)</f>
        <v/>
      </c>
      <c r="S18">
        <f>IF(R18="","",IF(OR(R18="AX",R18="BX"),"Поставки точно в срок, частые небольшие партии",IF(OR(R18="AY",R18="BY"),"Страховой запас и контроль уровня",IF(OR(R18="AZ",R18="BZ"),"Минимум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19">
      <c r="K19">
        <f>IF(SUM(D:D)=0,"",D19/SUM(D:D)*100)</f>
        <v/>
      </c>
      <c r="L19">
        <f>IF(OR(D19="",SUM(D:D)=0),"",ROUND(SUMIF(D:D,"&gt;="&amp;D19)/SUM(D:D)*100,4))</f>
        <v/>
      </c>
      <c r="M19">
        <f>IF(L19="","",IF(L19&lt;=80,"A",IF(L19&lt;=95,"B","C")))</f>
        <v/>
      </c>
      <c r="N19">
        <f>IF(COUNT(E19:J19)=0,"",AVERAGE(E19:J19))</f>
        <v/>
      </c>
      <c r="O19">
        <f>IF(COUNT(E19:J19)=0,"",STDEVP(E19:J19))</f>
        <v/>
      </c>
      <c r="P19">
        <f>IF(N(N19)=0,"",O19/N19*100)</f>
        <v/>
      </c>
      <c r="Q19">
        <f>IF(N19="","",IF(P19="","Z",IF(P19&lt;=10,"X",IF(P19&lt;=25,"Y","Z"))))</f>
        <v/>
      </c>
      <c r="R19">
        <f>IF(OR(M19="",Q19=""),"",M19&amp;Q19)</f>
        <v/>
      </c>
      <c r="S19">
        <f>IF(R19="","",IF(OR(R19="AX",R19="BX"),"Поставки точно в срок, частые небольшие партии",IF(OR(R19="AY",R19="BY"),"Страховой запас и контроль уровня",IF(OR(R19="AZ",R19="BZ"),"Минимум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0">
      <c r="K20">
        <f>IF(SUM(D:D)=0,"",D20/SUM(D:D)*100)</f>
        <v/>
      </c>
      <c r="L20">
        <f>IF(OR(D20="",SUM(D:D)=0),"",ROUND(SUMIF(D:D,"&gt;="&amp;D20)/SUM(D:D)*100,4))</f>
        <v/>
      </c>
      <c r="M20">
        <f>IF(L20="","",IF(L20&lt;=80,"A",IF(L20&lt;=95,"B","C")))</f>
        <v/>
      </c>
      <c r="N20">
        <f>IF(COUNT(E20:J20)=0,"",AVERAGE(E20:J20))</f>
        <v/>
      </c>
      <c r="O20">
        <f>IF(COUNT(E20:J20)=0,"",STDEVP(E20:J20))</f>
        <v/>
      </c>
      <c r="P20">
        <f>IF(N(N20)=0,"",O20/N20*100)</f>
        <v/>
      </c>
      <c r="Q20">
        <f>IF(N20="","",IF(P20="","Z",IF(P20&lt;=10,"X",IF(P20&lt;=25,"Y","Z"))))</f>
        <v/>
      </c>
      <c r="R20">
        <f>IF(OR(M20="",Q20=""),"",M20&amp;Q20)</f>
        <v/>
      </c>
      <c r="S20">
        <f>IF(R20="","",IF(OR(R20="AX",R20="BX"),"Поставки точно в срок, частые небольшие партии",IF(OR(R20="AY",R20="BY"),"Страховой запас и контроль уровня",IF(OR(R20="AZ",R20="BZ"),"Минимум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1">
      <c r="K21">
        <f>IF(SUM(D:D)=0,"",D21/SUM(D:D)*100)</f>
        <v/>
      </c>
      <c r="L21">
        <f>IF(OR(D21="",SUM(D:D)=0),"",ROUND(SUMIF(D:D,"&gt;="&amp;D21)/SUM(D:D)*100,4))</f>
        <v/>
      </c>
      <c r="M21">
        <f>IF(L21="","",IF(L21&lt;=80,"A",IF(L21&lt;=95,"B","C")))</f>
        <v/>
      </c>
      <c r="N21">
        <f>IF(COUNT(E21:J21)=0,"",AVERAGE(E21:J21))</f>
        <v/>
      </c>
      <c r="O21">
        <f>IF(COUNT(E21:J21)=0,"",STDEVP(E21:J21))</f>
        <v/>
      </c>
      <c r="P21">
        <f>IF(N(N21)=0,"",O21/N21*100)</f>
        <v/>
      </c>
      <c r="Q21">
        <f>IF(N21="","",IF(P21="","Z",IF(P21&lt;=10,"X",IF(P21&lt;=25,"Y","Z"))))</f>
        <v/>
      </c>
      <c r="R21">
        <f>IF(OR(M21="",Q21=""),"",M21&amp;Q21)</f>
        <v/>
      </c>
      <c r="S21">
        <f>IF(R21="","",IF(OR(R21="AX",R21="BX"),"Поставки точно в срок, частые небольшие партии",IF(OR(R21="AY",R21="BY"),"Страховой запас и контроль уровня",IF(OR(R21="AZ",R21="BZ"),"Минимум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2">
      <c r="K22">
        <f>IF(SUM(D:D)=0,"",D22/SUM(D:D)*100)</f>
        <v/>
      </c>
      <c r="L22">
        <f>IF(OR(D22="",SUM(D:D)=0),"",ROUND(SUMIF(D:D,"&gt;="&amp;D22)/SUM(D:D)*100,4))</f>
        <v/>
      </c>
      <c r="M22">
        <f>IF(L22="","",IF(L22&lt;=80,"A",IF(L22&lt;=95,"B","C")))</f>
        <v/>
      </c>
      <c r="N22">
        <f>IF(COUNT(E22:J22)=0,"",AVERAGE(E22:J22))</f>
        <v/>
      </c>
      <c r="O22">
        <f>IF(COUNT(E22:J22)=0,"",STDEVP(E22:J22))</f>
        <v/>
      </c>
      <c r="P22">
        <f>IF(N(N22)=0,"",O22/N22*100)</f>
        <v/>
      </c>
      <c r="Q22">
        <f>IF(N22="","",IF(P22="","Z",IF(P22&lt;=10,"X",IF(P22&lt;=25,"Y","Z"))))</f>
        <v/>
      </c>
      <c r="R22">
        <f>IF(OR(M22="",Q22=""),"",M22&amp;Q22)</f>
        <v/>
      </c>
      <c r="S22">
        <f>IF(R22="","",IF(OR(R22="AX",R22="BX"),"Поставки точно в срок, частые небольшие партии",IF(OR(R22="AY",R22="BY"),"Страховой запас и контроль уровня",IF(OR(R22="AZ",R22="BZ"),"Минимум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3">
      <c r="K23">
        <f>IF(SUM(D:D)=0,"",D23/SUM(D:D)*100)</f>
        <v/>
      </c>
      <c r="L23">
        <f>IF(OR(D23="",SUM(D:D)=0),"",ROUND(SUMIF(D:D,"&gt;="&amp;D23)/SUM(D:D)*100,4))</f>
        <v/>
      </c>
      <c r="M23">
        <f>IF(L23="","",IF(L23&lt;=80,"A",IF(L23&lt;=95,"B","C")))</f>
        <v/>
      </c>
      <c r="N23">
        <f>IF(COUNT(E23:J23)=0,"",AVERAGE(E23:J23))</f>
        <v/>
      </c>
      <c r="O23">
        <f>IF(COUNT(E23:J23)=0,"",STDEVP(E23:J23))</f>
        <v/>
      </c>
      <c r="P23">
        <f>IF(N(N23)=0,"",O23/N23*100)</f>
        <v/>
      </c>
      <c r="Q23">
        <f>IF(N23="","",IF(P23="","Z",IF(P23&lt;=10,"X",IF(P23&lt;=25,"Y","Z"))))</f>
        <v/>
      </c>
      <c r="R23">
        <f>IF(OR(M23="",Q23=""),"",M23&amp;Q23)</f>
        <v/>
      </c>
      <c r="S23">
        <f>IF(R23="","",IF(OR(R23="AX",R23="BX"),"Поставки точно в срок, частые небольшие партии",IF(OR(R23="AY",R23="BY"),"Страховой запас и контроль уровня",IF(OR(R23="AZ",R23="BZ"),"Минимум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4">
      <c r="K24">
        <f>IF(SUM(D:D)=0,"",D24/SUM(D:D)*100)</f>
        <v/>
      </c>
      <c r="L24">
        <f>IF(OR(D24="",SUM(D:D)=0),"",ROUND(SUMIF(D:D,"&gt;="&amp;D24)/SUM(D:D)*100,4))</f>
        <v/>
      </c>
      <c r="M24">
        <f>IF(L24="","",IF(L24&lt;=80,"A",IF(L24&lt;=95,"B","C")))</f>
        <v/>
      </c>
      <c r="N24">
        <f>IF(COUNT(E24:J24)=0,"",AVERAGE(E24:J24))</f>
        <v/>
      </c>
      <c r="O24">
        <f>IF(COUNT(E24:J24)=0,"",STDEVP(E24:J24))</f>
        <v/>
      </c>
      <c r="P24">
        <f>IF(N(N24)=0,"",O24/N24*100)</f>
        <v/>
      </c>
      <c r="Q24">
        <f>IF(N24="","",IF(P24="","Z",IF(P24&lt;=10,"X",IF(P24&lt;=25,"Y","Z"))))</f>
        <v/>
      </c>
      <c r="R24">
        <f>IF(OR(M24="",Q24=""),"",M24&amp;Q24)</f>
        <v/>
      </c>
      <c r="S24">
        <f>IF(R24="","",IF(OR(R24="AX",R24="BX"),"Поставки точно в срок, частые небольшие партии",IF(OR(R24="AY",R24="BY"),"Страховой запас и контроль уровня",IF(OR(R24="AZ",R24="BZ"),"Минимум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5">
      <c r="K25">
        <f>IF(SUM(D:D)=0,"",D25/SUM(D:D)*100)</f>
        <v/>
      </c>
      <c r="L25">
        <f>IF(OR(D25="",SUM(D:D)=0),"",ROUND(SUMIF(D:D,"&gt;="&amp;D25)/SUM(D:D)*100,4))</f>
        <v/>
      </c>
      <c r="M25">
        <f>IF(L25="","",IF(L25&lt;=80,"A",IF(L25&lt;=95,"B","C")))</f>
        <v/>
      </c>
      <c r="N25">
        <f>IF(COUNT(E25:J25)=0,"",AVERAGE(E25:J25))</f>
        <v/>
      </c>
      <c r="O25">
        <f>IF(COUNT(E25:J25)=0,"",STDEVP(E25:J25))</f>
        <v/>
      </c>
      <c r="P25">
        <f>IF(N(N25)=0,"",O25/N25*100)</f>
        <v/>
      </c>
      <c r="Q25">
        <f>IF(N25="","",IF(P25="","Z",IF(P25&lt;=10,"X",IF(P25&lt;=25,"Y","Z"))))</f>
        <v/>
      </c>
      <c r="R25">
        <f>IF(OR(M25="",Q25=""),"",M25&amp;Q25)</f>
        <v/>
      </c>
      <c r="S25">
        <f>IF(R25="","",IF(OR(R25="AX",R25="BX"),"Поставки точно в срок, частые небольшие партии",IF(OR(R25="AY",R25="BY"),"Страховой запас и контроль уровня",IF(OR(R25="AZ",R25="BZ"),"Минимум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6">
      <c r="K26">
        <f>IF(SUM(D:D)=0,"",D26/SUM(D:D)*100)</f>
        <v/>
      </c>
      <c r="L26">
        <f>IF(OR(D26="",SUM(D:D)=0),"",ROUND(SUMIF(D:D,"&gt;="&amp;D26)/SUM(D:D)*100,4))</f>
        <v/>
      </c>
      <c r="M26">
        <f>IF(L26="","",IF(L26&lt;=80,"A",IF(L26&lt;=95,"B","C")))</f>
        <v/>
      </c>
      <c r="N26">
        <f>IF(COUNT(E26:J26)=0,"",AVERAGE(E26:J26))</f>
        <v/>
      </c>
      <c r="O26">
        <f>IF(COUNT(E26:J26)=0,"",STDEVP(E26:J26))</f>
        <v/>
      </c>
      <c r="P26">
        <f>IF(N(N26)=0,"",O26/N26*100)</f>
        <v/>
      </c>
      <c r="Q26">
        <f>IF(N26="","",IF(P26="","Z",IF(P26&lt;=10,"X",IF(P26&lt;=25,"Y","Z"))))</f>
        <v/>
      </c>
      <c r="R26">
        <f>IF(OR(M26="",Q26=""),"",M26&amp;Q26)</f>
        <v/>
      </c>
      <c r="S26">
        <f>IF(R26="","",IF(OR(R26="AX",R26="BX"),"Поставки точно в срок, частые небольшие партии",IF(OR(R26="AY",R26="BY"),"Страховой запас и контроль уровня",IF(OR(R26="AZ",R26="BZ"),"Минимум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7">
      <c r="K27">
        <f>IF(SUM(D:D)=0,"",D27/SUM(D:D)*100)</f>
        <v/>
      </c>
      <c r="L27">
        <f>IF(OR(D27="",SUM(D:D)=0),"",ROUND(SUMIF(D:D,"&gt;="&amp;D27)/SUM(D:D)*100,4))</f>
        <v/>
      </c>
      <c r="M27">
        <f>IF(L27="","",IF(L27&lt;=80,"A",IF(L27&lt;=95,"B","C")))</f>
        <v/>
      </c>
      <c r="N27">
        <f>IF(COUNT(E27:J27)=0,"",AVERAGE(E27:J27))</f>
        <v/>
      </c>
      <c r="O27">
        <f>IF(COUNT(E27:J27)=0,"",STDEVP(E27:J27))</f>
        <v/>
      </c>
      <c r="P27">
        <f>IF(N(N27)=0,"",O27/N27*100)</f>
        <v/>
      </c>
      <c r="Q27">
        <f>IF(N27="","",IF(P27="","Z",IF(P27&lt;=10,"X",IF(P27&lt;=25,"Y","Z"))))</f>
        <v/>
      </c>
      <c r="R27">
        <f>IF(OR(M27="",Q27=""),"",M27&amp;Q27)</f>
        <v/>
      </c>
      <c r="S27">
        <f>IF(R27="","",IF(OR(R27="AX",R27="BX"),"Поставки точно в срок, частые небольшие партии",IF(OR(R27="AY",R27="BY"),"Страховой запас и контроль уровня",IF(OR(R27="AZ",R27="BZ"),"Минимум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8">
      <c r="K28">
        <f>IF(SUM(D:D)=0,"",D28/SUM(D:D)*100)</f>
        <v/>
      </c>
      <c r="L28">
        <f>IF(OR(D28="",SUM(D:D)=0),"",ROUND(SUMIF(D:D,"&gt;="&amp;D28)/SUM(D:D)*100,4))</f>
        <v/>
      </c>
      <c r="M28">
        <f>IF(L28="","",IF(L28&lt;=80,"A",IF(L28&lt;=95,"B","C")))</f>
        <v/>
      </c>
      <c r="N28">
        <f>IF(COUNT(E28:J28)=0,"",AVERAGE(E28:J28))</f>
        <v/>
      </c>
      <c r="O28">
        <f>IF(COUNT(E28:J28)=0,"",STDEVP(E28:J28))</f>
        <v/>
      </c>
      <c r="P28">
        <f>IF(N(N28)=0,"",O28/N28*100)</f>
        <v/>
      </c>
      <c r="Q28">
        <f>IF(N28="","",IF(P28="","Z",IF(P28&lt;=10,"X",IF(P28&lt;=25,"Y","Z"))))</f>
        <v/>
      </c>
      <c r="R28">
        <f>IF(OR(M28="",Q28=""),"",M28&amp;Q28)</f>
        <v/>
      </c>
      <c r="S28">
        <f>IF(R28="","",IF(OR(R28="AX",R28="BX"),"Поставки точно в срок, частые небольшие партии",IF(OR(R28="AY",R28="BY"),"Страховой запас и контроль уровня",IF(OR(R28="AZ",R28="BZ"),"Минимум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29">
      <c r="K29">
        <f>IF(SUM(D:D)=0,"",D29/SUM(D:D)*100)</f>
        <v/>
      </c>
      <c r="L29">
        <f>IF(OR(D29="",SUM(D:D)=0),"",ROUND(SUMIF(D:D,"&gt;="&amp;D29)/SUM(D:D)*100,4))</f>
        <v/>
      </c>
      <c r="M29">
        <f>IF(L29="","",IF(L29&lt;=80,"A",IF(L29&lt;=95,"B","C")))</f>
        <v/>
      </c>
      <c r="N29">
        <f>IF(COUNT(E29:J29)=0,"",AVERAGE(E29:J29))</f>
        <v/>
      </c>
      <c r="O29">
        <f>IF(COUNT(E29:J29)=0,"",STDEVP(E29:J29))</f>
        <v/>
      </c>
      <c r="P29">
        <f>IF(N(N29)=0,"",O29/N29*100)</f>
        <v/>
      </c>
      <c r="Q29">
        <f>IF(N29="","",IF(P29="","Z",IF(P29&lt;=10,"X",IF(P29&lt;=25,"Y","Z"))))</f>
        <v/>
      </c>
      <c r="R29">
        <f>IF(OR(M29="",Q29=""),"",M29&amp;Q29)</f>
        <v/>
      </c>
      <c r="S29">
        <f>IF(R29="","",IF(OR(R29="AX",R29="BX"),"Поставки точно в срок, частые небольшие партии",IF(OR(R29="AY",R29="BY"),"Страховой запас и контроль уровня",IF(OR(R29="AZ",R29="BZ"),"Минимум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30">
      <c r="K30">
        <f>IF(SUM(D:D)=0,"",D30/SUM(D:D)*100)</f>
        <v/>
      </c>
      <c r="L30">
        <f>IF(OR(D30="",SUM(D:D)=0),"",ROUND(SUMIF(D:D,"&gt;="&amp;D30)/SUM(D:D)*100,4))</f>
        <v/>
      </c>
      <c r="M30">
        <f>IF(L30="","",IF(L30&lt;=80,"A",IF(L30&lt;=95,"B","C")))</f>
        <v/>
      </c>
      <c r="N30">
        <f>IF(COUNT(E30:J30)=0,"",AVERAGE(E30:J30))</f>
        <v/>
      </c>
      <c r="O30">
        <f>IF(COUNT(E30:J30)=0,"",STDEVP(E30:J30))</f>
        <v/>
      </c>
      <c r="P30">
        <f>IF(N(N30)=0,"",O30/N30*100)</f>
        <v/>
      </c>
      <c r="Q30">
        <f>IF(N30="","",IF(P30="","Z",IF(P30&lt;=10,"X",IF(P30&lt;=25,"Y","Z"))))</f>
        <v/>
      </c>
      <c r="R30">
        <f>IF(OR(M30="",Q30=""),"",M30&amp;Q30)</f>
        <v/>
      </c>
      <c r="S30">
        <f>IF(R30="","",IF(OR(R30="AX",R30="BX"),"Поставки точно в срок, частые небольшие партии",IF(OR(R30="AY",R30="BY"),"Страховой запас и контроль уровня",IF(OR(R30="AZ",R30="BZ"),"Минимум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31">
      <c r="K31">
        <f>IF(SUM(D:D)=0,"",D31/SUM(D:D)*100)</f>
        <v/>
      </c>
      <c r="L31">
        <f>IF(OR(D31="",SUM(D:D)=0),"",ROUND(SUMIF(D:D,"&gt;="&amp;D31)/SUM(D:D)*100,4))</f>
        <v/>
      </c>
      <c r="M31">
        <f>IF(L31="","",IF(L31&lt;=80,"A",IF(L31&lt;=95,"B","C")))</f>
        <v/>
      </c>
      <c r="N31">
        <f>IF(COUNT(E31:J31)=0,"",AVERAGE(E31:J31))</f>
        <v/>
      </c>
      <c r="O31">
        <f>IF(COUNT(E31:J31)=0,"",STDEVP(E31:J31))</f>
        <v/>
      </c>
      <c r="P31">
        <f>IF(N(N31)=0,"",O31/N31*100)</f>
        <v/>
      </c>
      <c r="Q31">
        <f>IF(N31="","",IF(P31="","Z",IF(P31&lt;=10,"X",IF(P31&lt;=25,"Y","Z"))))</f>
        <v/>
      </c>
      <c r="R31">
        <f>IF(OR(M31="",Q31=""),"",M31&amp;Q31)</f>
        <v/>
      </c>
      <c r="S31">
        <f>IF(R31="","",IF(OR(R31="AX",R31="BX"),"Поставки точно в срок, частые небольшие партии",IF(OR(R31="AY",R31="BY"),"Страховой запас и контроль уровня",IF(OR(R31="AZ",R31="BZ"),"Минимум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32">
      <c r="K32">
        <f>IF(SUM(D:D)=0,"",D32/SUM(D:D)*100)</f>
        <v/>
      </c>
      <c r="L32">
        <f>IF(OR(D32="",SUM(D:D)=0),"",ROUND(SUMIF(D:D,"&gt;="&amp;D32)/SUM(D:D)*100,4))</f>
        <v/>
      </c>
      <c r="M32">
        <f>IF(L32="","",IF(L32&lt;=80,"A",IF(L32&lt;=95,"B","C")))</f>
        <v/>
      </c>
      <c r="N32">
        <f>IF(COUNT(E32:J32)=0,"",AVERAGE(E32:J32))</f>
        <v/>
      </c>
      <c r="O32">
        <f>IF(COUNT(E32:J32)=0,"",STDEVP(E32:J32))</f>
        <v/>
      </c>
      <c r="P32">
        <f>IF(N(N32)=0,"",O32/N32*100)</f>
        <v/>
      </c>
      <c r="Q32">
        <f>IF(N32="","",IF(P32="","Z",IF(P32&lt;=10,"X",IF(P32&lt;=25,"Y","Z"))))</f>
        <v/>
      </c>
      <c r="R32">
        <f>IF(OR(M32="",Q32=""),"",M32&amp;Q32)</f>
        <v/>
      </c>
      <c r="S32">
        <f>IF(R32="","",IF(OR(R32="AX",R32="BX"),"Поставки точно в срок, частые небольшие партии",IF(OR(R32="AY",R32="BY"),"Страховой запас и контроль уровня",IF(OR(R32="AZ",R32="BZ"),"Минимум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33">
      <c r="K33">
        <f>IF(SUM(D:D)=0,"",D33/SUM(D:D)*100)</f>
        <v/>
      </c>
      <c r="L33">
        <f>IF(OR(D33="",SUM(D:D)=0),"",ROUND(SUMIF(D:D,"&gt;="&amp;D33)/SUM(D:D)*100,4))</f>
        <v/>
      </c>
      <c r="M33">
        <f>IF(L33="","",IF(L33&lt;=80,"A",IF(L33&lt;=95,"B","C")))</f>
        <v/>
      </c>
      <c r="N33">
        <f>IF(COUNT(E33:J33)=0,"",AVERAGE(E33:J33))</f>
        <v/>
      </c>
      <c r="O33">
        <f>IF(COUNT(E33:J33)=0,"",STDEVP(E33:J33))</f>
        <v/>
      </c>
      <c r="P33">
        <f>IF(N(N33)=0,"",O33/N33*100)</f>
        <v/>
      </c>
      <c r="Q33">
        <f>IF(N33="","",IF(P33="","Z",IF(P33&lt;=10,"X",IF(P33&lt;=25,"Y","Z"))))</f>
        <v/>
      </c>
      <c r="R33">
        <f>IF(OR(M33="",Q33=""),"",M33&amp;Q33)</f>
        <v/>
      </c>
      <c r="S33">
        <f>IF(R33="","",IF(OR(R33="AX",R33="BX"),"Поставки точно в срок, частые небольшие партии",IF(OR(R33="AY",R33="BY"),"Страховой запас и контроль уровня",IF(OR(R33="AZ",R33="BZ"),"Минимум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34">
      <c r="K34">
        <f>IF(SUM(D:D)=0,"",D34/SUM(D:D)*100)</f>
        <v/>
      </c>
      <c r="L34">
        <f>IF(OR(D34="",SUM(D:D)=0),"",ROUND(SUMIF(D:D,"&gt;="&amp;D34)/SUM(D:D)*100,4))</f>
        <v/>
      </c>
      <c r="M34">
        <f>IF(L34="","",IF(L34&lt;=80,"A",IF(L34&lt;=95,"B","C")))</f>
        <v/>
      </c>
      <c r="N34">
        <f>IF(COUNT(E34:J34)=0,"",AVERAGE(E34:J34))</f>
        <v/>
      </c>
      <c r="O34">
        <f>IF(COUNT(E34:J34)=0,"",STDEVP(E34:J34))</f>
        <v/>
      </c>
      <c r="P34">
        <f>IF(N(N34)=0,"",O34/N34*100)</f>
        <v/>
      </c>
      <c r="Q34">
        <f>IF(N34="","",IF(P34="","Z",IF(P34&lt;=10,"X",IF(P34&lt;=25,"Y","Z"))))</f>
        <v/>
      </c>
      <c r="R34">
        <f>IF(OR(M34="",Q34=""),"",M34&amp;Q34)</f>
        <v/>
      </c>
      <c r="S34">
        <f>IF(R34="","",IF(OR(R34="AX",R34="BX"),"Поставки точно в срок, частые небольшие партии",IF(OR(R34="AY",R34="BY"),"Страховой запас и контроль уровня",IF(OR(R34="AZ",R34="BZ"),"Минимум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35">
      <c r="K35">
        <f>IF(SUM(D:D)=0,"",D35/SUM(D:D)*100)</f>
        <v/>
      </c>
      <c r="L35">
        <f>IF(OR(D35="",SUM(D:D)=0),"",ROUND(SUMIF(D:D,"&gt;="&amp;D35)/SUM(D:D)*100,4))</f>
        <v/>
      </c>
      <c r="M35">
        <f>IF(L35="","",IF(L35&lt;=80,"A",IF(L35&lt;=95,"B","C")))</f>
        <v/>
      </c>
      <c r="N35">
        <f>IF(COUNT(E35:J35)=0,"",AVERAGE(E35:J35))</f>
        <v/>
      </c>
      <c r="O35">
        <f>IF(COUNT(E35:J35)=0,"",STDEVP(E35:J35))</f>
        <v/>
      </c>
      <c r="P35">
        <f>IF(N(N35)=0,"",O35/N35*100)</f>
        <v/>
      </c>
      <c r="Q35">
        <f>IF(N35="","",IF(P35="","Z",IF(P35&lt;=10,"X",IF(P35&lt;=25,"Y","Z"))))</f>
        <v/>
      </c>
      <c r="R35">
        <f>IF(OR(M35="",Q35=""),"",M35&amp;Q35)</f>
        <v/>
      </c>
      <c r="S35">
        <f>IF(R35="","",IF(OR(R35="AX",R35="BX"),"Поставки точно в срок, частые небольшие партии",IF(OR(R35="AY",R35="BY"),"Страховой запас и контроль уровня",IF(OR(R35="AZ",R35="BZ"),"Минимум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36">
      <c r="K36">
        <f>IF(SUM(D:D)=0,"",D36/SUM(D:D)*100)</f>
        <v/>
      </c>
      <c r="L36">
        <f>IF(OR(D36="",SUM(D:D)=0),"",ROUND(SUMIF(D:D,"&gt;="&amp;D36)/SUM(D:D)*100,4))</f>
        <v/>
      </c>
      <c r="M36">
        <f>IF(L36="","",IF(L36&lt;=80,"A",IF(L36&lt;=95,"B","C")))</f>
        <v/>
      </c>
      <c r="N36">
        <f>IF(COUNT(E36:J36)=0,"",AVERAGE(E36:J36))</f>
        <v/>
      </c>
      <c r="O36">
        <f>IF(COUNT(E36:J36)=0,"",STDEVP(E36:J36))</f>
        <v/>
      </c>
      <c r="P36">
        <f>IF(N(N36)=0,"",O36/N36*100)</f>
        <v/>
      </c>
      <c r="Q36">
        <f>IF(N36="","",IF(P36="","Z",IF(P36&lt;=10,"X",IF(P36&lt;=25,"Y","Z"))))</f>
        <v/>
      </c>
      <c r="R36">
        <f>IF(OR(M36="",Q36=""),"",M36&amp;Q36)</f>
        <v/>
      </c>
      <c r="S36">
        <f>IF(R36="","",IF(OR(R36="AX",R36="BX"),"Поставки точно в срок, частые небольшие партии",IF(OR(R36="AY",R36="BY"),"Страховой запас и контроль уровня",IF(OR(R36="AZ",R36="BZ"),"Минимум запаса или заказ под спрос, постоянное внимание","Большие интервалы между поставками, подумайте, нужен ли товар"))))</f>
        <v/>
      </c>
    </row>
    <row r="38">
      <c r="A38" s="4" t="inlineStr">
        <is>
          <t>Числа в примере условные: пять товаров вместо десяти ради краткости. Для настоящего разбора нужно не меньше десяти товаров и 6-12 месяцев продаж. В таблице шесть колонок месяцев: если у вас больше, добавьте колонки внутрь диапазона формул E:J.</t>
        </is>
      </c>
    </row>
    <row r="39">
      <c r="A39" s="4" t="inlineStr">
        <is>
          <t>Выручка: лучше маржинальный доход по товару, если он у вас есть. Не считайте ABC по штукам.</t>
        </is>
      </c>
    </row>
    <row r="40">
      <c r="A40" s="4" t="inlineStr">
        <is>
          <t>ABC: накопительная доля считается без сортировки. Границы 80% и 95% условные, подстройте их в формуле колонки ABC под себя.</t>
        </is>
      </c>
    </row>
    <row r="41">
      <c r="A41" s="4" t="inlineStr">
        <is>
          <t>XYZ: коэффициент вариации = стандартное отклонение по месяцам, делённое на среднее. Границы до 10% (X), до 25% (Y), выше (Z) тоже договорённость, а не стандарт. Товар с нулями во всех месяцах попадает в Z. Если месяцы не заполнены совсем, XYZ и ячейка остаются пустыми.</t>
        </is>
      </c>
    </row>
    <row r="42">
      <c r="A42" s="4" t="inlineStr">
        <is>
          <t>Роль товара: ваше решение. Например, «Трафик» (приводит покупателей), «Основной доход», «Дополнение» к основному товару, «Имидж». Назначайте роль до расчёта и сверьте с матрицей: если «основной» товар оказался в C, пересмотрите роль.</t>
        </is>
      </c>
    </row>
    <row r="43">
      <c r="A43" s="4" t="inlineStr">
        <is>
          <t>Особые случаи: новинки младше нескольких месяцев и сезонные товары вынесите на отдельный лист и считайте внутри сезона. Годовые данные по сезонному товару дают ложную стабильность.</t>
        </is>
      </c>
    </row>
    <row r="44">
      <c r="A44" s="4" t="inlineStr">
        <is>
          <t>Политика по ячейкам: один из распространённых вариантов. Прежде чем выкидывать товары группы C, проверьте, не нужны ли они для полноты ассортимента.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</cols>
  <sheetData>
    <row r="1">
      <c r="A1" s="3" t="inlineStr">
        <is>
          <t>Ячейка</t>
        </is>
      </c>
      <c r="B1" s="3" t="inlineStr">
        <is>
          <t>Товаров</t>
        </is>
      </c>
      <c r="C1" s="3" t="inlineStr">
        <is>
          <t>Выручка, ₽</t>
        </is>
      </c>
      <c r="D1" s="3" t="inlineStr">
        <is>
          <t>Доля выручки, %</t>
        </is>
      </c>
    </row>
    <row r="2">
      <c r="A2" t="inlineStr">
        <is>
          <t>AX</t>
        </is>
      </c>
      <c r="B2">
        <f>IF(A2="","",COUNTIF('Товары'!$R:$R,A2))</f>
        <v/>
      </c>
      <c r="C2">
        <f>IF(A2="","",SUMIF('Товары'!$R:$R,A2,'Товары'!$D:$D))</f>
        <v/>
      </c>
      <c r="D2">
        <f>IF(OR(A2="",SUM(C:C)=0),"",C2/SUM(C:C)*100)</f>
        <v/>
      </c>
    </row>
    <row r="3">
      <c r="A3" t="inlineStr">
        <is>
          <t>AY</t>
        </is>
      </c>
      <c r="B3">
        <f>IF(A3="","",COUNTIF('Товары'!$R:$R,A3))</f>
        <v/>
      </c>
      <c r="C3">
        <f>IF(A3="","",SUMIF('Товары'!$R:$R,A3,'Товары'!$D:$D))</f>
        <v/>
      </c>
      <c r="D3">
        <f>IF(OR(A3="",SUM(C:C)=0),"",C3/SUM(C:C)*100)</f>
        <v/>
      </c>
    </row>
    <row r="4">
      <c r="A4" t="inlineStr">
        <is>
          <t>AZ</t>
        </is>
      </c>
      <c r="B4">
        <f>IF(A4="","",COUNTIF('Товары'!$R:$R,A4))</f>
        <v/>
      </c>
      <c r="C4">
        <f>IF(A4="","",SUMIF('Товары'!$R:$R,A4,'Товары'!$D:$D))</f>
        <v/>
      </c>
      <c r="D4">
        <f>IF(OR(A4="",SUM(C:C)=0),"",C4/SUM(C:C)*100)</f>
        <v/>
      </c>
    </row>
    <row r="5">
      <c r="A5" t="inlineStr">
        <is>
          <t>BX</t>
        </is>
      </c>
      <c r="B5">
        <f>IF(A5="","",COUNTIF('Товары'!$R:$R,A5))</f>
        <v/>
      </c>
      <c r="C5">
        <f>IF(A5="","",SUMIF('Товары'!$R:$R,A5,'Товары'!$D:$D))</f>
        <v/>
      </c>
      <c r="D5">
        <f>IF(OR(A5="",SUM(C:C)=0),"",C5/SUM(C:C)*100)</f>
        <v/>
      </c>
    </row>
    <row r="6">
      <c r="A6" t="inlineStr">
        <is>
          <t>BY</t>
        </is>
      </c>
      <c r="B6">
        <f>IF(A6="","",COUNTIF('Товары'!$R:$R,A6))</f>
        <v/>
      </c>
      <c r="C6">
        <f>IF(A6="","",SUMIF('Товары'!$R:$R,A6,'Товары'!$D:$D))</f>
        <v/>
      </c>
      <c r="D6">
        <f>IF(OR(A6="",SUM(C:C)=0),"",C6/SUM(C:C)*100)</f>
        <v/>
      </c>
    </row>
    <row r="7">
      <c r="A7" t="inlineStr">
        <is>
          <t>BZ</t>
        </is>
      </c>
      <c r="B7">
        <f>IF(A7="","",COUNTIF('Товары'!$R:$R,A7))</f>
        <v/>
      </c>
      <c r="C7">
        <f>IF(A7="","",SUMIF('Товары'!$R:$R,A7,'Товары'!$D:$D))</f>
        <v/>
      </c>
      <c r="D7">
        <f>IF(OR(A7="",SUM(C:C)=0),"",C7/SUM(C:C)*100)</f>
        <v/>
      </c>
    </row>
    <row r="8">
      <c r="A8" t="inlineStr">
        <is>
          <t>CX</t>
        </is>
      </c>
      <c r="B8">
        <f>IF(A8="","",COUNTIF('Товары'!$R:$R,A8))</f>
        <v/>
      </c>
      <c r="C8">
        <f>IF(A8="","",SUMIF('Товары'!$R:$R,A8,'Товары'!$D:$D))</f>
        <v/>
      </c>
      <c r="D8">
        <f>IF(OR(A8="",SUM(C:C)=0),"",C8/SUM(C:C)*100)</f>
        <v/>
      </c>
    </row>
    <row r="9">
      <c r="A9" t="inlineStr">
        <is>
          <t>CY</t>
        </is>
      </c>
      <c r="B9">
        <f>IF(A9="","",COUNTIF('Товары'!$R:$R,A9))</f>
        <v/>
      </c>
      <c r="C9">
        <f>IF(A9="","",SUMIF('Товары'!$R:$R,A9,'Товары'!$D:$D))</f>
        <v/>
      </c>
      <c r="D9">
        <f>IF(OR(A9="",SUM(C:C)=0),"",C9/SUM(C:C)*100)</f>
        <v/>
      </c>
    </row>
    <row r="10">
      <c r="A10" t="inlineStr">
        <is>
          <t>CZ</t>
        </is>
      </c>
      <c r="B10">
        <f>IF(A10="","",COUNTIF('Товары'!$R:$R,A10))</f>
        <v/>
      </c>
      <c r="C10">
        <f>IF(A10="","",SUMIF('Товары'!$R:$R,A10,'Товары'!$D:$D))</f>
        <v/>
      </c>
      <c r="D10">
        <f>IF(OR(A10="",SUM(C:C)=0),"",C10/SUM(C:C)*100)</f>
        <v/>
      </c>
    </row>
    <row r="11">
      <c r="B11">
        <f>IF(A11="","",COUNTIF('Товары'!$R:$R,A11))</f>
        <v/>
      </c>
      <c r="C11">
        <f>IF(A11="","",SUMIF('Товары'!$R:$R,A11,'Товары'!$D:$D))</f>
        <v/>
      </c>
      <c r="D11">
        <f>IF(OR(A11="",SUM(C:C)=0),"",C11/SUM(C:C)*100)</f>
        <v/>
      </c>
    </row>
    <row r="12">
      <c r="B12">
        <f>IF(A12="","",COUNTIF('Товары'!$R:$R,A12))</f>
        <v/>
      </c>
      <c r="C12">
        <f>IF(A12="","",SUMIF('Товары'!$R:$R,A12,'Товары'!$D:$D))</f>
        <v/>
      </c>
      <c r="D12">
        <f>IF(OR(A12="",SUM(C:C)=0),"",C12/SUM(C:C)*100)</f>
        <v/>
      </c>
    </row>
    <row r="13">
      <c r="B13">
        <f>IF(A13="","",COUNTIF('Товары'!$R:$R,A13))</f>
        <v/>
      </c>
      <c r="C13">
        <f>IF(A13="","",SUMIF('Товары'!$R:$R,A13,'Товары'!$D:$D))</f>
        <v/>
      </c>
      <c r="D13">
        <f>IF(OR(A13="",SUM(C:C)=0),"",C13/SUM(C:C)*100)</f>
        <v/>
      </c>
    </row>
    <row r="14">
      <c r="B14">
        <f>IF(A14="","",COUNTIF('Товары'!$R:$R,A14))</f>
        <v/>
      </c>
      <c r="C14">
        <f>IF(A14="","",SUMIF('Товары'!$R:$R,A14,'Товары'!$D:$D))</f>
        <v/>
      </c>
      <c r="D14">
        <f>IF(OR(A14="",SUM(C:C)=0),"",C14/SUM(C:C)*100)</f>
        <v/>
      </c>
    </row>
    <row r="15">
      <c r="B15">
        <f>IF(A15="","",COUNTIF('Товары'!$R:$R,A15))</f>
        <v/>
      </c>
      <c r="C15">
        <f>IF(A15="","",SUMIF('Товары'!$R:$R,A15,'Товары'!$D:$D))</f>
        <v/>
      </c>
      <c r="D15">
        <f>IF(OR(A15="",SUM(C:C)=0),"",C15/SUM(C:C)*100)</f>
        <v/>
      </c>
    </row>
    <row r="16">
      <c r="B16">
        <f>IF(A16="","",COUNTIF('Товары'!$R:$R,A16))</f>
        <v/>
      </c>
      <c r="C16">
        <f>IF(A16="","",SUMIF('Товары'!$R:$R,A16,'Товары'!$D:$D))</f>
        <v/>
      </c>
      <c r="D16">
        <f>IF(OR(A16="",SUM(C:C)=0),"",C16/SUM(C:C)*100)</f>
        <v/>
      </c>
    </row>
    <row r="17">
      <c r="B17">
        <f>IF(A17="","",COUNTIF('Товары'!$R:$R,A17))</f>
        <v/>
      </c>
      <c r="C17">
        <f>IF(A17="","",SUMIF('Товары'!$R:$R,A17,'Товары'!$D:$D))</f>
        <v/>
      </c>
      <c r="D17">
        <f>IF(OR(A17="",SUM(C:C)=0),"",C17/SUM(C:C)*100)</f>
        <v/>
      </c>
    </row>
    <row r="18">
      <c r="B18">
        <f>IF(A18="","",COUNTIF('Товары'!$R:$R,A18))</f>
        <v/>
      </c>
      <c r="C18">
        <f>IF(A18="","",SUMIF('Товары'!$R:$R,A18,'Товары'!$D:$D))</f>
        <v/>
      </c>
      <c r="D18">
        <f>IF(OR(A18="",SUM(C:C)=0),"",C18/SUM(C:C)*100)</f>
        <v/>
      </c>
    </row>
    <row r="19">
      <c r="B19">
        <f>IF(A19="","",COUNTIF('Товары'!$R:$R,A19))</f>
        <v/>
      </c>
      <c r="C19">
        <f>IF(A19="","",SUMIF('Товары'!$R:$R,A19,'Товары'!$D:$D))</f>
        <v/>
      </c>
      <c r="D19">
        <f>IF(OR(A19="",SUM(C:C)=0),"",C19/SUM(C:C)*100)</f>
        <v/>
      </c>
    </row>
    <row r="20">
      <c r="B20">
        <f>IF(A20="","",COUNTIF('Товары'!$R:$R,A20))</f>
        <v/>
      </c>
      <c r="C20">
        <f>IF(A20="","",SUMIF('Товары'!$R:$R,A20,'Товары'!$D:$D))</f>
        <v/>
      </c>
      <c r="D20">
        <f>IF(OR(A20="",SUM(C:C)=0),"",C20/SUM(C:C)*100)</f>
        <v/>
      </c>
    </row>
    <row r="21">
      <c r="B21">
        <f>IF(A21="","",COUNTIF('Товары'!$R:$R,A21))</f>
        <v/>
      </c>
      <c r="C21">
        <f>IF(A21="","",SUMIF('Товары'!$R:$R,A21,'Товары'!$D:$D))</f>
        <v/>
      </c>
      <c r="D21">
        <f>IF(OR(A21="",SUM(C:C)=0),"",C21/SUM(C:C)*100)</f>
        <v/>
      </c>
    </row>
    <row r="22">
      <c r="B22">
        <f>IF(A22="","",COUNTIF('Товары'!$R:$R,A22))</f>
        <v/>
      </c>
      <c r="C22">
        <f>IF(A22="","",SUMIF('Товары'!$R:$R,A22,'Товары'!$D:$D))</f>
        <v/>
      </c>
      <c r="D22">
        <f>IF(OR(A22="",SUM(C:C)=0),"",C22/SUM(C:C)*100)</f>
        <v/>
      </c>
    </row>
    <row r="23">
      <c r="B23">
        <f>IF(A23="","",COUNTIF('Товары'!$R:$R,A23))</f>
        <v/>
      </c>
      <c r="C23">
        <f>IF(A23="","",SUMIF('Товары'!$R:$R,A23,'Товары'!$D:$D))</f>
        <v/>
      </c>
      <c r="D23">
        <f>IF(OR(A23="",SUM(C:C)=0),"",C23/SUM(C:C)*100)</f>
        <v/>
      </c>
    </row>
    <row r="24">
      <c r="B24">
        <f>IF(A24="","",COUNTIF('Товары'!$R:$R,A24))</f>
        <v/>
      </c>
      <c r="C24">
        <f>IF(A24="","",SUMIF('Товары'!$R:$R,A24,'Товары'!$D:$D))</f>
        <v/>
      </c>
      <c r="D24">
        <f>IF(OR(A24="",SUM(C:C)=0),"",C24/SUM(C:C)*100)</f>
        <v/>
      </c>
    </row>
    <row r="25">
      <c r="B25">
        <f>IF(A25="","",COUNTIF('Товары'!$R:$R,A25))</f>
        <v/>
      </c>
      <c r="C25">
        <f>IF(A25="","",SUMIF('Товары'!$R:$R,A25,'Товары'!$D:$D))</f>
        <v/>
      </c>
      <c r="D25">
        <f>IF(OR(A25="",SUM(C:C)=0),"",C25/SUM(C:C)*100)</f>
        <v/>
      </c>
    </row>
    <row r="26">
      <c r="B26">
        <f>IF(A26="","",COUNTIF('Товары'!$R:$R,A26))</f>
        <v/>
      </c>
      <c r="C26">
        <f>IF(A26="","",SUMIF('Товары'!$R:$R,A26,'Товары'!$D:$D))</f>
        <v/>
      </c>
      <c r="D26">
        <f>IF(OR(A26="",SUM(C:C)=0),"",C26/SUM(C:C)*100)</f>
        <v/>
      </c>
    </row>
    <row r="27">
      <c r="B27">
        <f>IF(A27="","",COUNTIF('Товары'!$R:$R,A27))</f>
        <v/>
      </c>
      <c r="C27">
        <f>IF(A27="","",SUMIF('Товары'!$R:$R,A27,'Товары'!$D:$D))</f>
        <v/>
      </c>
      <c r="D27">
        <f>IF(OR(A27="",SUM(C:C)=0),"",C27/SUM(C:C)*100)</f>
        <v/>
      </c>
    </row>
    <row r="28">
      <c r="B28">
        <f>IF(A28="","",COUNTIF('Товары'!$R:$R,A28))</f>
        <v/>
      </c>
      <c r="C28">
        <f>IF(A28="","",SUMIF('Товары'!$R:$R,A28,'Товары'!$D:$D))</f>
        <v/>
      </c>
      <c r="D28">
        <f>IF(OR(A28="",SUM(C:C)=0),"",C28/SUM(C:C)*100)</f>
        <v/>
      </c>
    </row>
    <row r="29">
      <c r="B29">
        <f>IF(A29="","",COUNTIF('Товары'!$R:$R,A29))</f>
        <v/>
      </c>
      <c r="C29">
        <f>IF(A29="","",SUMIF('Товары'!$R:$R,A29,'Товары'!$D:$D))</f>
        <v/>
      </c>
      <c r="D29">
        <f>IF(OR(A29="",SUM(C:C)=0),"",C29/SUM(C:C)*100)</f>
        <v/>
      </c>
    </row>
    <row r="30">
      <c r="B30">
        <f>IF(A30="","",COUNTIF('Товары'!$R:$R,A30))</f>
        <v/>
      </c>
      <c r="C30">
        <f>IF(A30="","",SUMIF('Товары'!$R:$R,A30,'Товары'!$D:$D))</f>
        <v/>
      </c>
      <c r="D30">
        <f>IF(OR(A30="",SUM(C:C)=0),"",C30/SUM(C:C)*100)</f>
        <v/>
      </c>
    </row>
    <row r="31">
      <c r="B31">
        <f>IF(A31="","",COUNTIF('Товары'!$R:$R,A31))</f>
        <v/>
      </c>
      <c r="C31">
        <f>IF(A31="","",SUMIF('Товары'!$R:$R,A31,'Товары'!$D:$D))</f>
        <v/>
      </c>
      <c r="D31">
        <f>IF(OR(A31="",SUM(C:C)=0),"",C31/SUM(C:C)*100)</f>
        <v/>
      </c>
    </row>
    <row r="32">
      <c r="B32">
        <f>IF(A32="","",COUNTIF('Товары'!$R:$R,A32))</f>
        <v/>
      </c>
      <c r="C32">
        <f>IF(A32="","",SUMIF('Товары'!$R:$R,A32,'Товары'!$D:$D))</f>
        <v/>
      </c>
      <c r="D32">
        <f>IF(OR(A32="",SUM(C:C)=0),"",C32/SUM(C:C)*100)</f>
        <v/>
      </c>
    </row>
    <row r="33">
      <c r="B33">
        <f>IF(A33="","",COUNTIF('Товары'!$R:$R,A33))</f>
        <v/>
      </c>
      <c r="C33">
        <f>IF(A33="","",SUMIF('Товары'!$R:$R,A33,'Товары'!$D:$D))</f>
        <v/>
      </c>
      <c r="D33">
        <f>IF(OR(A33="",SUM(C:C)=0),"",C33/SUM(C:C)*100)</f>
        <v/>
      </c>
    </row>
    <row r="34">
      <c r="B34">
        <f>IF(A34="","",COUNTIF('Товары'!$R:$R,A34))</f>
        <v/>
      </c>
      <c r="C34">
        <f>IF(A34="","",SUMIF('Товары'!$R:$R,A34,'Товары'!$D:$D))</f>
        <v/>
      </c>
      <c r="D34">
        <f>IF(OR(A34="",SUM(C:C)=0),"",C34/SUM(C:C)*100)</f>
        <v/>
      </c>
    </row>
    <row r="35">
      <c r="B35">
        <f>IF(A35="","",COUNTIF('Товары'!$R:$R,A35))</f>
        <v/>
      </c>
      <c r="C35">
        <f>IF(A35="","",SUMIF('Товары'!$R:$R,A35,'Товары'!$D:$D))</f>
        <v/>
      </c>
      <c r="D35">
        <f>IF(OR(A35="",SUM(C:C)=0),"",C35/SUM(C:C)*100)</f>
        <v/>
      </c>
    </row>
    <row r="36">
      <c r="B36">
        <f>IF(A36="","",COUNTIF('Товары'!$R:$R,A36))</f>
        <v/>
      </c>
      <c r="C36">
        <f>IF(A36="","",SUMIF('Товары'!$R:$R,A36,'Товары'!$D:$D))</f>
        <v/>
      </c>
      <c r="D36">
        <f>IF(OR(A36="",SUM(C:C)=0),"",C36/SUM(C:C)*100)</f>
        <v/>
      </c>
    </row>
    <row r="37">
      <c r="B37">
        <f>IF(A37="","",COUNTIF('Товары'!$R:$R,A37))</f>
        <v/>
      </c>
      <c r="C37">
        <f>IF(A37="","",SUMIF('Товары'!$R:$R,A37,'Товары'!$D:$D))</f>
        <v/>
      </c>
      <c r="D37">
        <f>IF(OR(A37="",SUM(C:C)=0),"",C37/SUM(C:C)*100)</f>
        <v/>
      </c>
    </row>
    <row r="38">
      <c r="B38">
        <f>IF(A38="","",COUNTIF('Товары'!$R:$R,A38))</f>
        <v/>
      </c>
      <c r="C38">
        <f>IF(A38="","",SUMIF('Товары'!$R:$R,A38,'Товары'!$D:$D))</f>
        <v/>
      </c>
      <c r="D38">
        <f>IF(OR(A38="",SUM(C:C)=0),"",C38/SUM(C:C)*100)</f>
        <v/>
      </c>
    </row>
    <row r="39">
      <c r="B39">
        <f>IF(A39="","",COUNTIF('Товары'!$R:$R,A39))</f>
        <v/>
      </c>
      <c r="C39">
        <f>IF(A39="","",SUMIF('Товары'!$R:$R,A39,'Товары'!$D:$D))</f>
        <v/>
      </c>
      <c r="D39">
        <f>IF(OR(A39="",SUM(C:C)=0),"",C39/SUM(C:C)*100)</f>
        <v/>
      </c>
    </row>
    <row r="40">
      <c r="B40">
        <f>IF(A40="","",COUNTIF('Товары'!$R:$R,A40))</f>
        <v/>
      </c>
      <c r="C40">
        <f>IF(A40="","",SUMIF('Товары'!$R:$R,A40,'Товары'!$D:$D))</f>
        <v/>
      </c>
      <c r="D40">
        <f>IF(OR(A40="",SUM(C:C)=0),"",C40/SUM(C:C)*100)</f>
        <v/>
      </c>
    </row>
    <row r="42">
      <c r="A42" s="4" t="inlineStr">
        <is>
          <t>Матрица 3 на 3: сколько товаров и какая доля выручки в каждой ячейке. Сумма доли выручки должна быть 100%, а сумма товаров равна числу строк на листе «Товары».</t>
        </is>
      </c>
    </row>
    <row r="43">
      <c r="A43" s="4" t="inlineStr">
        <is>
          <t>Первая буква показывает ABC (вклад в выручку), вторая XYZ (стабильность спроса). Политику для каждой ячейки смотрите в последней колонке листа «Товары».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0" customWidth="1" min="4" max="4"/>
    <col width="16" customWidth="1" min="5" max="5"/>
  </cols>
  <sheetData>
    <row r="1">
      <c r="A1" s="3" t="inlineStr">
        <is>
          <t>Ценовой диапазон</t>
        </is>
      </c>
      <c r="B1" s="3" t="inlineStr">
        <is>
          <t>От, ₽</t>
        </is>
      </c>
      <c r="C1" s="3" t="inlineStr">
        <is>
          <t>До, ₽ (не включая)</t>
        </is>
      </c>
      <c r="D1" s="3" t="inlineStr">
        <is>
          <t>Товаров</t>
        </is>
      </c>
      <c r="E1" s="3" t="inlineStr">
        <is>
          <t>Выручка, ₽</t>
        </is>
      </c>
    </row>
    <row r="2">
      <c r="A2" t="inlineStr">
        <is>
          <t>Низкая цена</t>
        </is>
      </c>
      <c r="B2" t="n">
        <v>0</v>
      </c>
      <c r="C2" t="n">
        <v>1000</v>
      </c>
      <c r="D2">
        <f>IF(OR(B2="",C2=""),"",COUNTIFS('Товары'!$C:$C,"&gt;="&amp;B2,'Товары'!$C:$C,"&lt;"&amp;C2))</f>
        <v/>
      </c>
      <c r="E2">
        <f>IF(OR(B2="",C2=""),"",SUMIFS('Товары'!$D:$D,'Товары'!$C:$C,"&gt;="&amp;B2,'Товары'!$C:$C,"&lt;"&amp;C2))</f>
        <v/>
      </c>
    </row>
    <row r="3">
      <c r="A3" t="inlineStr">
        <is>
          <t>Средняя цена</t>
        </is>
      </c>
      <c r="B3" t="n">
        <v>1000</v>
      </c>
      <c r="C3" t="n">
        <v>2500</v>
      </c>
      <c r="D3">
        <f>IF(OR(B3="",C3=""),"",COUNTIFS('Товары'!$C:$C,"&gt;="&amp;B3,'Товары'!$C:$C,"&lt;"&amp;C3))</f>
        <v/>
      </c>
      <c r="E3">
        <f>IF(OR(B3="",C3=""),"",SUMIFS('Товары'!$D:$D,'Товары'!$C:$C,"&gt;="&amp;B3,'Товары'!$C:$C,"&lt;"&amp;C3))</f>
        <v/>
      </c>
    </row>
    <row r="4">
      <c r="A4" t="inlineStr">
        <is>
          <t>Высокая цена</t>
        </is>
      </c>
      <c r="B4" t="n">
        <v>2500</v>
      </c>
      <c r="C4" t="n">
        <v>5000</v>
      </c>
      <c r="D4">
        <f>IF(OR(B4="",C4=""),"",COUNTIFS('Товары'!$C:$C,"&gt;="&amp;B4,'Товары'!$C:$C,"&lt;"&amp;C4))</f>
        <v/>
      </c>
      <c r="E4">
        <f>IF(OR(B4="",C4=""),"",SUMIFS('Товары'!$D:$D,'Товары'!$C:$C,"&gt;="&amp;B4,'Товары'!$C:$C,"&lt;"&amp;C4))</f>
        <v/>
      </c>
    </row>
    <row r="5">
      <c r="A5" t="inlineStr">
        <is>
          <t>Премиум</t>
        </is>
      </c>
      <c r="B5" t="n">
        <v>5000</v>
      </c>
      <c r="C5" t="n">
        <v>100000</v>
      </c>
      <c r="D5">
        <f>IF(OR(B5="",C5=""),"",COUNTIFS('Товары'!$C:$C,"&gt;="&amp;B5,'Товары'!$C:$C,"&lt;"&amp;C5))</f>
        <v/>
      </c>
      <c r="E5">
        <f>IF(OR(B5="",C5=""),"",SUMIFS('Товары'!$D:$D,'Товары'!$C:$C,"&gt;="&amp;B5,'Товары'!$C:$C,"&lt;"&amp;C5))</f>
        <v/>
      </c>
    </row>
    <row r="6">
      <c r="D6">
        <f>IF(OR(B6="",C6=""),"",COUNTIFS('Товары'!$C:$C,"&gt;="&amp;B6,'Товары'!$C:$C,"&lt;"&amp;C6))</f>
        <v/>
      </c>
      <c r="E6">
        <f>IF(OR(B6="",C6=""),"",SUMIFS('Товары'!$D:$D,'Товары'!$C:$C,"&gt;="&amp;B6,'Товары'!$C:$C,"&lt;"&amp;C6))</f>
        <v/>
      </c>
    </row>
    <row r="7">
      <c r="D7">
        <f>IF(OR(B7="",C7=""),"",COUNTIFS('Товары'!$C:$C,"&gt;="&amp;B7,'Товары'!$C:$C,"&lt;"&amp;C7))</f>
        <v/>
      </c>
      <c r="E7">
        <f>IF(OR(B7="",C7=""),"",SUMIFS('Товары'!$D:$D,'Товары'!$C:$C,"&gt;="&amp;B7,'Товары'!$C:$C,"&lt;"&amp;C7))</f>
        <v/>
      </c>
    </row>
    <row r="8">
      <c r="D8">
        <f>IF(OR(B8="",C8=""),"",COUNTIFS('Товары'!$C:$C,"&gt;="&amp;B8,'Товары'!$C:$C,"&lt;"&amp;C8))</f>
        <v/>
      </c>
      <c r="E8">
        <f>IF(OR(B8="",C8=""),"",SUMIFS('Товары'!$D:$D,'Товары'!$C:$C,"&gt;="&amp;B8,'Товары'!$C:$C,"&lt;"&amp;C8))</f>
        <v/>
      </c>
    </row>
    <row r="9">
      <c r="D9">
        <f>IF(OR(B9="",C9=""),"",COUNTIFS('Товары'!$C:$C,"&gt;="&amp;B9,'Товары'!$C:$C,"&lt;"&amp;C9))</f>
        <v/>
      </c>
      <c r="E9">
        <f>IF(OR(B9="",C9=""),"",SUMIFS('Товары'!$D:$D,'Товары'!$C:$C,"&gt;="&amp;B9,'Товары'!$C:$C,"&lt;"&amp;C9))</f>
        <v/>
      </c>
    </row>
    <row r="10">
      <c r="D10">
        <f>IF(OR(B10="",C10=""),"",COUNTIFS('Товары'!$C:$C,"&gt;="&amp;B10,'Товары'!$C:$C,"&lt;"&amp;C10))</f>
        <v/>
      </c>
      <c r="E10">
        <f>IF(OR(B10="",C10=""),"",SUMIFS('Товары'!$D:$D,'Товары'!$C:$C,"&gt;="&amp;B10,'Товары'!$C:$C,"&lt;"&amp;C10))</f>
        <v/>
      </c>
    </row>
    <row r="11">
      <c r="D11">
        <f>IF(OR(B11="",C11=""),"",COUNTIFS('Товары'!$C:$C,"&gt;="&amp;B11,'Товары'!$C:$C,"&lt;"&amp;C11))</f>
        <v/>
      </c>
      <c r="E11">
        <f>IF(OR(B11="",C11=""),"",SUMIFS('Товары'!$D:$D,'Товары'!$C:$C,"&gt;="&amp;B11,'Товары'!$C:$C,"&lt;"&amp;C11))</f>
        <v/>
      </c>
    </row>
    <row r="12">
      <c r="D12">
        <f>IF(OR(B12="",C12=""),"",COUNTIFS('Товары'!$C:$C,"&gt;="&amp;B12,'Товары'!$C:$C,"&lt;"&amp;C12))</f>
        <v/>
      </c>
      <c r="E12">
        <f>IF(OR(B12="",C12=""),"",SUMIFS('Товары'!$D:$D,'Товары'!$C:$C,"&gt;="&amp;B12,'Товары'!$C:$C,"&lt;"&amp;C12))</f>
        <v/>
      </c>
    </row>
    <row r="13">
      <c r="D13">
        <f>IF(OR(B13="",C13=""),"",COUNTIFS('Товары'!$C:$C,"&gt;="&amp;B13,'Товары'!$C:$C,"&lt;"&amp;C13))</f>
        <v/>
      </c>
      <c r="E13">
        <f>IF(OR(B13="",C13=""),"",SUMIFS('Товары'!$D:$D,'Товары'!$C:$C,"&gt;="&amp;B13,'Товары'!$C:$C,"&lt;"&amp;C13))</f>
        <v/>
      </c>
    </row>
    <row r="14">
      <c r="D14">
        <f>IF(OR(B14="",C14=""),"",COUNTIFS('Товары'!$C:$C,"&gt;="&amp;B14,'Товары'!$C:$C,"&lt;"&amp;C14))</f>
        <v/>
      </c>
      <c r="E14">
        <f>IF(OR(B14="",C14=""),"",SUMIFS('Товары'!$D:$D,'Товары'!$C:$C,"&gt;="&amp;B14,'Товары'!$C:$C,"&lt;"&amp;C14))</f>
        <v/>
      </c>
    </row>
    <row r="15">
      <c r="D15">
        <f>IF(OR(B15="",C15=""),"",COUNTIFS('Товары'!$C:$C,"&gt;="&amp;B15,'Товары'!$C:$C,"&lt;"&amp;C15))</f>
        <v/>
      </c>
      <c r="E15">
        <f>IF(OR(B15="",C15=""),"",SUMIFS('Товары'!$D:$D,'Товары'!$C:$C,"&gt;="&amp;B15,'Товары'!$C:$C,"&lt;"&amp;C15))</f>
        <v/>
      </c>
    </row>
    <row r="16">
      <c r="D16">
        <f>IF(OR(B16="",C16=""),"",COUNTIFS('Товары'!$C:$C,"&gt;="&amp;B16,'Товары'!$C:$C,"&lt;"&amp;C16))</f>
        <v/>
      </c>
      <c r="E16">
        <f>IF(OR(B16="",C16=""),"",SUMIFS('Товары'!$D:$D,'Товары'!$C:$C,"&gt;="&amp;B16,'Товары'!$C:$C,"&lt;"&amp;C16))</f>
        <v/>
      </c>
    </row>
    <row r="17">
      <c r="D17">
        <f>IF(OR(B17="",C17=""),"",COUNTIFS('Товары'!$C:$C,"&gt;="&amp;B17,'Товары'!$C:$C,"&lt;"&amp;C17))</f>
        <v/>
      </c>
      <c r="E17">
        <f>IF(OR(B17="",C17=""),"",SUMIFS('Товары'!$D:$D,'Товары'!$C:$C,"&gt;="&amp;B17,'Товары'!$C:$C,"&lt;"&amp;C17))</f>
        <v/>
      </c>
    </row>
    <row r="18">
      <c r="D18">
        <f>IF(OR(B18="",C18=""),"",COUNTIFS('Товары'!$C:$C,"&gt;="&amp;B18,'Товары'!$C:$C,"&lt;"&amp;C18))</f>
        <v/>
      </c>
      <c r="E18">
        <f>IF(OR(B18="",C18=""),"",SUMIFS('Товары'!$D:$D,'Товары'!$C:$C,"&gt;="&amp;B18,'Товары'!$C:$C,"&lt;"&amp;C18))</f>
        <v/>
      </c>
    </row>
    <row r="19">
      <c r="D19">
        <f>IF(OR(B19="",C19=""),"",COUNTIFS('Товары'!$C:$C,"&gt;="&amp;B19,'Товары'!$C:$C,"&lt;"&amp;C19))</f>
        <v/>
      </c>
      <c r="E19">
        <f>IF(OR(B19="",C19=""),"",SUMIFS('Товары'!$D:$D,'Товары'!$C:$C,"&gt;="&amp;B19,'Товары'!$C:$C,"&lt;"&amp;C19))</f>
        <v/>
      </c>
    </row>
    <row r="20">
      <c r="D20">
        <f>IF(OR(B20="",C20=""),"",COUNTIFS('Товары'!$C:$C,"&gt;="&amp;B20,'Товары'!$C:$C,"&lt;"&amp;C20))</f>
        <v/>
      </c>
      <c r="E20">
        <f>IF(OR(B20="",C20=""),"",SUMIFS('Товары'!$D:$D,'Товары'!$C:$C,"&gt;="&amp;B20,'Товары'!$C:$C,"&lt;"&amp;C20))</f>
        <v/>
      </c>
    </row>
    <row r="21">
      <c r="D21">
        <f>IF(OR(B21="",C21=""),"",COUNTIFS('Товары'!$C:$C,"&gt;="&amp;B21,'Товары'!$C:$C,"&lt;"&amp;C21))</f>
        <v/>
      </c>
      <c r="E21">
        <f>IF(OR(B21="",C21=""),"",SUMIFS('Товары'!$D:$D,'Товары'!$C:$C,"&gt;="&amp;B21,'Товары'!$C:$C,"&lt;"&amp;C21))</f>
        <v/>
      </c>
    </row>
    <row r="22">
      <c r="D22">
        <f>IF(OR(B22="",C22=""),"",COUNTIFS('Товары'!$C:$C,"&gt;="&amp;B22,'Товары'!$C:$C,"&lt;"&amp;C22))</f>
        <v/>
      </c>
      <c r="E22">
        <f>IF(OR(B22="",C22=""),"",SUMIFS('Товары'!$D:$D,'Товары'!$C:$C,"&gt;="&amp;B22,'Товары'!$C:$C,"&lt;"&amp;C22))</f>
        <v/>
      </c>
    </row>
    <row r="23">
      <c r="D23">
        <f>IF(OR(B23="",C23=""),"",COUNTIFS('Товары'!$C:$C,"&gt;="&amp;B23,'Товары'!$C:$C,"&lt;"&amp;C23))</f>
        <v/>
      </c>
      <c r="E23">
        <f>IF(OR(B23="",C23=""),"",SUMIFS('Товары'!$D:$D,'Товары'!$C:$C,"&gt;="&amp;B23,'Товары'!$C:$C,"&lt;"&amp;C23))</f>
        <v/>
      </c>
    </row>
    <row r="24">
      <c r="D24">
        <f>IF(OR(B24="",C24=""),"",COUNTIFS('Товары'!$C:$C,"&gt;="&amp;B24,'Товары'!$C:$C,"&lt;"&amp;C24))</f>
        <v/>
      </c>
      <c r="E24">
        <f>IF(OR(B24="",C24=""),"",SUMIFS('Товары'!$D:$D,'Товары'!$C:$C,"&gt;="&amp;B24,'Товары'!$C:$C,"&lt;"&amp;C24))</f>
        <v/>
      </c>
    </row>
    <row r="25">
      <c r="D25">
        <f>IF(OR(B25="",C25=""),"",COUNTIFS('Товары'!$C:$C,"&gt;="&amp;B25,'Товары'!$C:$C,"&lt;"&amp;C25))</f>
        <v/>
      </c>
      <c r="E25">
        <f>IF(OR(B25="",C25=""),"",SUMIFS('Товары'!$D:$D,'Товары'!$C:$C,"&gt;="&amp;B25,'Товары'!$C:$C,"&lt;"&amp;C25))</f>
        <v/>
      </c>
    </row>
    <row r="26">
      <c r="D26">
        <f>IF(OR(B26="",C26=""),"",COUNTIFS('Товары'!$C:$C,"&gt;="&amp;B26,'Товары'!$C:$C,"&lt;"&amp;C26))</f>
        <v/>
      </c>
      <c r="E26">
        <f>IF(OR(B26="",C26=""),"",SUMIFS('Товары'!$D:$D,'Товары'!$C:$C,"&gt;="&amp;B26,'Товары'!$C:$C,"&lt;"&amp;C26))</f>
        <v/>
      </c>
    </row>
    <row r="27">
      <c r="D27">
        <f>IF(OR(B27="",C27=""),"",COUNTIFS('Товары'!$C:$C,"&gt;="&amp;B27,'Товары'!$C:$C,"&lt;"&amp;C27))</f>
        <v/>
      </c>
      <c r="E27">
        <f>IF(OR(B27="",C27=""),"",SUMIFS('Товары'!$D:$D,'Товары'!$C:$C,"&gt;="&amp;B27,'Товары'!$C:$C,"&lt;"&amp;C27))</f>
        <v/>
      </c>
    </row>
    <row r="28">
      <c r="D28">
        <f>IF(OR(B28="",C28=""),"",COUNTIFS('Товары'!$C:$C,"&gt;="&amp;B28,'Товары'!$C:$C,"&lt;"&amp;C28))</f>
        <v/>
      </c>
      <c r="E28">
        <f>IF(OR(B28="",C28=""),"",SUMIFS('Товары'!$D:$D,'Товары'!$C:$C,"&gt;="&amp;B28,'Товары'!$C:$C,"&lt;"&amp;C28))</f>
        <v/>
      </c>
    </row>
    <row r="29">
      <c r="D29">
        <f>IF(OR(B29="",C29=""),"",COUNTIFS('Товары'!$C:$C,"&gt;="&amp;B29,'Товары'!$C:$C,"&lt;"&amp;C29))</f>
        <v/>
      </c>
      <c r="E29">
        <f>IF(OR(B29="",C29=""),"",SUMIFS('Товары'!$D:$D,'Товары'!$C:$C,"&gt;="&amp;B29,'Товары'!$C:$C,"&lt;"&amp;C29))</f>
        <v/>
      </c>
    </row>
    <row r="30">
      <c r="D30">
        <f>IF(OR(B30="",C30=""),"",COUNTIFS('Товары'!$C:$C,"&gt;="&amp;B30,'Товары'!$C:$C,"&lt;"&amp;C30))</f>
        <v/>
      </c>
      <c r="E30">
        <f>IF(OR(B30="",C30=""),"",SUMIFS('Товары'!$D:$D,'Товары'!$C:$C,"&gt;="&amp;B30,'Товары'!$C:$C,"&lt;"&amp;C30))</f>
        <v/>
      </c>
    </row>
    <row r="31">
      <c r="D31">
        <f>IF(OR(B31="",C31=""),"",COUNTIFS('Товары'!$C:$C,"&gt;="&amp;B31,'Товары'!$C:$C,"&lt;"&amp;C31))</f>
        <v/>
      </c>
      <c r="E31">
        <f>IF(OR(B31="",C31=""),"",SUMIFS('Товары'!$D:$D,'Товары'!$C:$C,"&gt;="&amp;B31,'Товары'!$C:$C,"&lt;"&amp;C31))</f>
        <v/>
      </c>
    </row>
    <row r="32">
      <c r="D32">
        <f>IF(OR(B32="",C32=""),"",COUNTIFS('Товары'!$C:$C,"&gt;="&amp;B32,'Товары'!$C:$C,"&lt;"&amp;C32))</f>
        <v/>
      </c>
      <c r="E32">
        <f>IF(OR(B32="",C32=""),"",SUMIFS('Товары'!$D:$D,'Товары'!$C:$C,"&gt;="&amp;B32,'Товары'!$C:$C,"&lt;"&amp;C32))</f>
        <v/>
      </c>
    </row>
    <row r="33">
      <c r="D33">
        <f>IF(OR(B33="",C33=""),"",COUNTIFS('Товары'!$C:$C,"&gt;="&amp;B33,'Товары'!$C:$C,"&lt;"&amp;C33))</f>
        <v/>
      </c>
      <c r="E33">
        <f>IF(OR(B33="",C33=""),"",SUMIFS('Товары'!$D:$D,'Товары'!$C:$C,"&gt;="&amp;B33,'Товары'!$C:$C,"&lt;"&amp;C33))</f>
        <v/>
      </c>
    </row>
    <row r="34">
      <c r="D34">
        <f>IF(OR(B34="",C34=""),"",COUNTIFS('Товары'!$C:$C,"&gt;="&amp;B34,'Товары'!$C:$C,"&lt;"&amp;C34))</f>
        <v/>
      </c>
      <c r="E34">
        <f>IF(OR(B34="",C34=""),"",SUMIFS('Товары'!$D:$D,'Товары'!$C:$C,"&gt;="&amp;B34,'Товары'!$C:$C,"&lt;"&amp;C34))</f>
        <v/>
      </c>
    </row>
    <row r="35">
      <c r="D35">
        <f>IF(OR(B35="",C35=""),"",COUNTIFS('Товары'!$C:$C,"&gt;="&amp;B35,'Товары'!$C:$C,"&lt;"&amp;C35))</f>
        <v/>
      </c>
      <c r="E35">
        <f>IF(OR(B35="",C35=""),"",SUMIFS('Товары'!$D:$D,'Товары'!$C:$C,"&gt;="&amp;B35,'Товары'!$C:$C,"&lt;"&amp;C35))</f>
        <v/>
      </c>
    </row>
    <row r="37">
      <c r="A37" s="4" t="inlineStr">
        <is>
          <t>Ценовая лестница: задайте свои границы диапазонов (в примере они условные). Видно, где ассортимент густой, а где в лестнице дыра.</t>
        </is>
      </c>
    </row>
    <row r="38">
      <c r="A38" s="4" t="inlineStr">
        <is>
          <t>Диапазоны не должны пересекаться: «До» одной строки равно «От» следующей. Верхнюю границу последнего диапазона поставьте выше самой дорогой вещи.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2026-10-04T20:53:11Z</dcterms:created>
  <dcterms:modified xmlns:dcterms="http://purl.org/dc/terms/" xmlns:xsi="http://www.w3.org/2001/XMLSchema-instance" xsi:type="dcterms:W3CDTF">2026-10-04T20:53:11Z</dcterms:modified>
</cp:coreProperties>
</file>